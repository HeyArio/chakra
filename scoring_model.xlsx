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b93bf994a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785352d1b40f4302"/>
    <x:sheet xmlns:r="http://schemas.openxmlformats.org/officeDocument/2006/relationships" name="Questions" sheetId="2" r:id="R1b44a72fa9ec4043"/>
    <x:sheet xmlns:r="http://schemas.openxmlformats.org/officeDocument/2006/relationships" name="Responses" sheetId="3" r:id="R5ecfbc418c954b2e"/>
    <x:sheet xmlns:r="http://schemas.openxmlformats.org/officeDocument/2006/relationships" name="Calculations" sheetId="4" r:id="R7a20c48d6abb491d"/>
    <x:sheet xmlns:r="http://schemas.openxmlformats.org/officeDocument/2006/relationships" name="Dashboard" sheetId="5" r:id="R1acff688bf734a86"/>
    <x:sheet xmlns:r="http://schemas.openxmlformats.org/officeDocument/2006/relationships" name="Interpretation" sheetId="6" r:id="Racb12d141ddc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b/>
      <x:sz val="16"/>
      <x:color rgb="FFFFD88A"/>
      <x:name val="Carlito"/>
    </x:font>
    <x:font>
      <x:b/>
      <x:sz val="11"/>
      <x:color rgb="FFFFFFFF"/>
      <x:name val="Carlito"/>
    </x:font>
    <x:font>
      <x:sz val="11"/>
      <x:color rgb="FF111111"/>
      <x:name val="Carlito"/>
    </x:font>
    <x:font>
      <x:b/>
      <x:sz val="11"/>
      <x:color rgb="FFFFD88A"/>
      <x:name val="Carlito"/>
    </x:font>
    <x:font>
      <x:sz val="10"/>
      <x:name val="Carlito"/>
    </x:font>
    <x:font>
      <x:b/>
      <x:sz val="18"/>
      <x:color rgb="FFFFD88A"/>
      <x:name val="Carlito"/>
    </x:font>
    <x:font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1021"/>
      </x:patternFill>
    </x:fill>
    <x:fill>
      <x:patternFill patternType="solid">
        <x:fgColor rgb="FF241B3A"/>
      </x:patternFill>
    </x:fill>
    <x:fill>
      <x:patternFill patternType="solid">
        <x:fgColor rgb="FF151022"/>
      </x:patternFill>
    </x:fill>
    <x:fill>
      <x:patternFill patternType="solid">
        <x:fgColor rgb="FF0B0714"/>
      </x:patternFill>
    </x:fill>
    <x:fill>
      <x:patternFill patternType="solid">
        <x:fgColor rgb="FF1C1430"/>
      </x:patternFill>
    </x:fill>
    <x:fill>
      <x:patternFill patternType="solid">
        <x:fgColor rgb="FF3B255F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955129b784a23" /><Relationship Type="http://schemas.openxmlformats.org/officeDocument/2006/relationships/theme" Target="/xl/theme/theme1.xml" Id="R7c58429343594877" /><Relationship Type="http://schemas.openxmlformats.org/officeDocument/2006/relationships/sharedStrings" Target="/xl/sharedStrings.xml" Id="Ra5e747686f38490d" /><Relationship Type="http://schemas.openxmlformats.org/officeDocument/2006/relationships/worksheet" Target="/xl/worksheets/sheet1.xml" Id="R785352d1b40f4302" /><Relationship Type="http://schemas.openxmlformats.org/officeDocument/2006/relationships/worksheet" Target="/xl/worksheets/sheet2.xml" Id="R1b44a72fa9ec4043" /><Relationship Type="http://schemas.openxmlformats.org/officeDocument/2006/relationships/worksheet" Target="/xl/worksheets/sheet3.xml" Id="R5ecfbc418c954b2e" /><Relationship Type="http://schemas.openxmlformats.org/officeDocument/2006/relationships/worksheet" Target="/xl/worksheets/sheet4.xml" Id="R7a20c48d6abb491d" /><Relationship Type="http://schemas.openxmlformats.org/officeDocument/2006/relationships/worksheet" Target="/xl/worksheets/sheet5.xml" Id="R1acff688bf734a86" /><Relationship Type="http://schemas.openxmlformats.org/officeDocument/2006/relationships/worksheet" Target="/xl/worksheets/sheet6.xml" Id="Racb12d141ddc4602" /></Relationships>
</file>

<file path=xl/tables/table1.xml><?xml version="1.0" encoding="utf-8"?>
<x:table xmlns:x="http://schemas.openxmlformats.org/spreadsheetml/2006/main" id="1" name="QuestionsTable" displayName="QuestionsTable" ref="A1:U71" headerRowCount="1">
  <x:tableColumns count="21">
    <x:tableColumn id="1" name="ID"/>
    <x:tableColumn id="2" name="دسته"/>
    <x:tableColumn id="3" name="چاکرای اصلی"/>
    <x:tableColumn id="4" name="سؤال"/>
    <x:tableColumn id="5" name="گزینه ۱"/>
    <x:tableColumn id="6" name="گزینه ۲"/>
    <x:tableColumn id="7" name="گزینه ۳"/>
    <x:tableColumn id="8" name="گزینه ۴"/>
    <x:tableColumn id="9" name="نوع امتیاز"/>
    <x:tableColumn id="10" name="Root"/>
    <x:tableColumn id="11" name="Sacral"/>
    <x:tableColumn id="12" name="Solar"/>
    <x:tableColumn id="13" name="Heart"/>
    <x:tableColumn id="14" name="Throat"/>
    <x:tableColumn id="15" name="ThirdEye"/>
    <x:tableColumn id="16" name="Crown"/>
    <x:tableColumn id="17" name="Wealth"/>
    <x:tableColumn id="18" name="Emotional"/>
    <x:tableColumn id="19" name="Health"/>
    <x:tableColumn id="20" name="Receiving"/>
    <x:tableColumn id="21" name="اولویت تحلیلی"/>
  </x:tableColumns>
  <x:tableStyleInfo name="TableStyleMedium2" showRowStripes="1"/>
</x:table>
</file>

<file path=xl/tables/table2.xml><?xml version="1.0" encoding="utf-8"?>
<x:table xmlns:x="http://schemas.openxmlformats.org/spreadsheetml/2006/main" id="2" name="ResponsesTable" displayName="ResponsesTable" ref="A1:G71" headerRowCount="1">
  <x:tableColumns count="7">
    <x:tableColumn id="1" name="ID"/>
    <x:tableColumn id="2" name="دسته"/>
    <x:tableColumn id="3" name="چاکرای اصلی"/>
    <x:tableColumn id="4" name="سؤال کوتاه"/>
    <x:tableColumn id="5" name="پاسخ ۱ تا ۴"/>
    <x:tableColumn id="6" name="امتیاز محاسبه‌شده"/>
    <x:tableColumn id="7" name="راهنمای گزینه‌ها"/>
  </x:tableColumns>
  <x:tableStyleInfo name="TableStyleMedium2" showRowStripes="1"/>
</x:table>
</file>

<file path=xl/tables/table3.xml><?xml version="1.0" encoding="utf-8"?>
<x:table xmlns:x="http://schemas.openxmlformats.org/spreadsheetml/2006/main" id="3" name="CalculationsTable" displayName="CalculationsTable" ref="A1:D12" headerRowCount="1">
  <x:tableColumns count="4">
    <x:tableColumn id="1" name="شاخص"/>
    <x:tableColumn id="2" name="فرمول/امتیاز"/>
    <x:tableColumn id="3" name="وضعیت"/>
    <x:tableColumn id="4" name="توضیح کوتاه"/>
  </x:tableColumns>
  <x:tableStyleInfo name="TableStyleMedium2" showRowStripes="1"/>
</x:table>
</file>

<file path=xl/tables/table4.xml><?xml version="1.0" encoding="utf-8"?>
<x:table xmlns:x="http://schemas.openxmlformats.org/spreadsheetml/2006/main" id="4" name="InterpretationTable" displayName="InterpretationTable" ref="A1:D5" headerRowCount="1">
  <x:tableColumns count="4">
    <x:tableColumn id="1" name="بازه امتیاز"/>
    <x:tableColumn id="2" name="وضعیت"/>
    <x:tableColumn id="3" name="تفسیر پیشنهادی"/>
    <x:tableColumn id="4" name="اقدام پیشنهادی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dcd9cc63e846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e2292b55e943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c3e7f4a44e4e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d5e882fc8544788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2" hidden="0" customWidth="1"/>
  </x:cols>
  <x:sheetData>
    <x:row r="1">
      <x:c r="A1" s="4" t="str">
        <x:v>نسخه حرفه‌ای تحلیل چاکرا | سعید سالار</x:v>
      </x:c>
      <x:c r="B1" s="4" t="str"/>
    </x:row>
    <x:row r="2">
      <x:c r="A2" s="9" t="str">
        <x:v>هدف فایل</x:v>
      </x:c>
      <x:c r="B2" s="13" t="str">
        <x:v>۷۰ سؤال عمومی، قابل فهم و سناریومحور برای تحلیل چاکراها و چهار محور ثروت، عاطفی، سلامتی و دریافت</x:v>
      </x:c>
    </x:row>
    <x:row r="3">
      <x:c r="A3" s="9" t="str">
        <x:v>روش پاسخ‌دهی</x:v>
      </x:c>
      <x:c r="B3" s="13" t="str">
        <x:v>در شیت Responses برای هر سؤال عدد ۱ تا ۴ را انتخاب کنید. گزینه‌ها در شیت Questions نوشته شده‌اند.</x:v>
      </x:c>
    </x:row>
    <x:row r="4">
      <x:c r="A4" s="9" t="str">
        <x:v>امتیازدهی</x:v>
      </x:c>
      <x:c r="B4" s="13" t="str">
        <x:v>برخی سؤال‌ها مستقیم و برخی معکوس هستند تا پاسخ‌ها قابل حدس نباشند.</x:v>
      </x:c>
    </x:row>
    <x:row r="5">
      <x:c r="A5" s="9" t="str">
        <x:v>خروجی‌ها</x:v>
      </x:c>
      <x:c r="B5" s="13" t="str">
        <x:v>Dashboard امتیاز هر چاکرا، چهار محور اصلی، اولویت‌های رشد و سطح چالش را نشان می‌دهد.</x:v>
      </x:c>
    </x:row>
    <x:row r="6">
      <x:c r="A6" s="9" t="str">
        <x:v>یادداشت</x:v>
      </x:c>
      <x:c r="B6" s="13" t="str">
        <x:v>این ابزار برای خودشناسی و توسعه فردی است و تشخیص پزشکی یا روان‌شناختی محسوب نمی‌شود.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2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18" hidden="0" customWidth="1"/>
  </x:cols>
  <x:sheetData>
    <x:row r="1">
      <x:c r="A1" s="19" t="str">
        <x:v>ID</x:v>
      </x:c>
      <x:c r="B1" s="19" t="str">
        <x:v>دسته</x:v>
      </x:c>
      <x:c r="C1" s="19" t="str">
        <x:v>چاکرای اصلی</x:v>
      </x:c>
      <x:c r="D1" s="19" t="str">
        <x:v>سؤال</x:v>
      </x:c>
      <x:c r="E1" s="19" t="str">
        <x:v>گزینه ۱</x:v>
      </x:c>
      <x:c r="F1" s="19" t="str">
        <x:v>گزینه ۲</x:v>
      </x:c>
      <x:c r="G1" s="19" t="str">
        <x:v>گزینه ۳</x:v>
      </x:c>
      <x:c r="H1" s="19" t="str">
        <x:v>گزینه ۴</x:v>
      </x:c>
      <x:c r="I1" s="19" t="str">
        <x:v>نوع امتیاز</x:v>
      </x:c>
      <x:c r="J1" s="19" t="str">
        <x:v>Root</x:v>
      </x:c>
      <x:c r="K1" s="19" t="str">
        <x:v>Sacral</x:v>
      </x:c>
      <x:c r="L1" s="19" t="str">
        <x:v>Solar</x:v>
      </x:c>
      <x:c r="M1" s="19" t="str">
        <x:v>Heart</x:v>
      </x:c>
      <x:c r="N1" s="19" t="str">
        <x:v>Throat</x:v>
      </x:c>
      <x:c r="O1" s="19" t="str">
        <x:v>ThirdEye</x:v>
      </x:c>
      <x:c r="P1" s="19" t="str">
        <x:v>Crown</x:v>
      </x:c>
      <x:c r="Q1" s="19" t="str">
        <x:v>Wealth</x:v>
      </x:c>
      <x:c r="R1" s="19" t="str">
        <x:v>Emotional</x:v>
      </x:c>
      <x:c r="S1" s="19" t="str">
        <x:v>Health</x:v>
      </x:c>
      <x:c r="T1" s="19" t="str">
        <x:v>Receiving</x:v>
      </x:c>
      <x:c r="U1" s="19" t="str">
        <x:v>اولویت تحلیلی</x:v>
      </x:c>
    </x:row>
    <x:row r="2">
      <x:c r="A2" s="26" t="n">
        <x:v>1</x:v>
      </x:c>
      <x:c r="B2" s="26" t="str">
        <x:v>امنیت و ثبات</x:v>
      </x:c>
      <x:c r="C2" s="26" t="str">
        <x:v>ریشه</x:v>
      </x:c>
      <x:c r="D2" s="26" t="str">
        <x:v>وقتی یک هزینه غیرمنتظره پیش می‌آید، معمولاً چه واکنشی دارید؟</x:v>
      </x:c>
      <x:c r="E2" s="26" t="str">
        <x:v>سریع مضطرب می‌شوم و ذهنم قفل می‌کند</x:v>
      </x:c>
      <x:c r="F2" s="26" t="str">
        <x:v>نگران می‌شوم اما بعد دنبال راه‌حل می‌گردم</x:v>
      </x:c>
      <x:c r="G2" s="26" t="str">
        <x:v>کمی مکث می‌کنم و برنامه می‌ریزم</x:v>
      </x:c>
      <x:c r="H2" s="26" t="str">
        <x:v>آرام می‌مانم و قدم بعدی را مشخص می‌کنم</x:v>
      </x:c>
      <x:c r="I2" s="26" t="str">
        <x:v>مستقیم</x:v>
      </x:c>
      <x:c r="J2" s="30" t="n">
        <x:v>1</x:v>
      </x:c>
      <x:c r="K2" s="30" t="n">
        <x:v>0</x:v>
      </x:c>
      <x:c r="L2" s="30" t="n">
        <x:v>0.3</x:v>
      </x:c>
      <x:c r="M2" s="30" t="n">
        <x:v>0</x:v>
      </x:c>
      <x:c r="N2" s="30" t="n">
        <x:v>0</x:v>
      </x:c>
      <x:c r="O2" s="30" t="n">
        <x:v>0</x:v>
      </x:c>
      <x:c r="P2" s="30" t="n">
        <x:v>0</x:v>
      </x:c>
      <x:c r="Q2" s="30" t="n">
        <x:v>0.9</x:v>
      </x:c>
      <x:c r="R2" s="30" t="n">
        <x:v>0</x:v>
      </x:c>
      <x:c r="S2" s="30" t="n">
        <x:v>0.3</x:v>
      </x:c>
      <x:c r="T2" s="30" t="n">
        <x:v>0</x:v>
      </x:c>
      <x:c r="U2" s="26" t="str">
        <x:v>ثروت/امنیت</x:v>
      </x:c>
    </x:row>
    <x:row r="3">
      <x:c r="A3" s="26" t="n">
        <x:v>2</x:v>
      </x:c>
      <x:c r="B3" s="26" t="str">
        <x:v>امنیت و ثبات</x:v>
      </x:c>
      <x:c r="C3" s="26" t="str">
        <x:v>ریشه</x:v>
      </x:c>
      <x:c r="D3" s="26" t="str">
        <x:v>اگر برنامه روزتان ناگهان به‌هم بریزد، بیشتر شبیه کدام حالت هستید؟</x:v>
      </x:c>
      <x:c r="E3" s="26" t="str">
        <x:v>کاملاً به‌هم می‌ریزم</x:v>
      </x:c>
      <x:c r="F3" s="26" t="str">
        <x:v>مدتی عصبی می‌شوم</x:v>
      </x:c>
      <x:c r="G3" s="26" t="str">
        <x:v>با کمی زمان خودم را جمع می‌کنم</x:v>
      </x:c>
      <x:c r="H3" s="26" t="str">
        <x:v>انعطاف دارم و مسیر جدید می‌سازم</x:v>
      </x:c>
      <x:c r="I3" s="26" t="str">
        <x:v>مستقیم</x:v>
      </x:c>
      <x:c r="J3" s="30" t="n">
        <x:v>0.9</x:v>
      </x:c>
      <x:c r="K3" s="30" t="n">
        <x:v>0.2</x:v>
      </x:c>
      <x:c r="L3" s="30" t="n">
        <x:v>0</x:v>
      </x:c>
      <x:c r="M3" s="30" t="n">
        <x:v>0</x:v>
      </x:c>
      <x:c r="N3" s="30" t="n">
        <x:v>0</x:v>
      </x:c>
      <x:c r="O3" s="30" t="n">
        <x:v>0</x:v>
      </x:c>
      <x:c r="P3" s="30" t="n">
        <x:v>0</x:v>
      </x:c>
      <x:c r="Q3" s="30" t="n">
        <x:v>0</x:v>
      </x:c>
      <x:c r="R3" s="30" t="n">
        <x:v>0</x:v>
      </x:c>
      <x:c r="S3" s="30" t="n">
        <x:v>0.5</x:v>
      </x:c>
      <x:c r="T3" s="30" t="n">
        <x:v>0</x:v>
      </x:c>
      <x:c r="U3" s="26" t="str">
        <x:v>ثبات</x:v>
      </x:c>
    </x:row>
    <x:row r="4">
      <x:c r="A4" s="26" t="n">
        <x:v>3</x:v>
      </x:c>
      <x:c r="B4" s="26" t="str">
        <x:v>امنیت و ثبات</x:v>
      </x:c>
      <x:c r="C4" s="26" t="str">
        <x:v>ریشه</x:v>
      </x:c>
      <x:c r="D4" s="26" t="str">
        <x:v>وقتی آینده مبهم است، ذهن شما معمولاً چه می‌کند؟</x:v>
      </x:c>
      <x:c r="E4" s="26" t="str">
        <x:v>بدترین حالت‌ها را می‌سازد</x:v>
      </x:c>
      <x:c r="F4" s="26" t="str">
        <x:v>زیاد فکر می‌کند اما متوقف نمی‌شود</x:v>
      </x:c>
      <x:c r="G4" s="26" t="str">
        <x:v>چند راه‌حل احتمالی پیدا می‌کند</x:v>
      </x:c>
      <x:c r="H4" s="26" t="str">
        <x:v>روی قدم‌های قابل انجام تمرکز می‌کند</x:v>
      </x:c>
      <x:c r="I4" s="26" t="str">
        <x:v>مستقیم</x:v>
      </x:c>
      <x:c r="J4" s="30" t="n">
        <x:v>0.8</x:v>
      </x:c>
      <x:c r="K4" s="30" t="n">
        <x:v>0</x:v>
      </x:c>
      <x:c r="L4" s="30" t="n">
        <x:v>0</x:v>
      </x:c>
      <x:c r="M4" s="30" t="n">
        <x:v>0</x:v>
      </x:c>
      <x:c r="N4" s="30" t="n">
        <x:v>0</x:v>
      </x:c>
      <x:c r="O4" s="30" t="n">
        <x:v>0.3</x:v>
      </x:c>
      <x:c r="P4" s="30" t="n">
        <x:v>0</x:v>
      </x:c>
      <x:c r="Q4" s="30" t="n">
        <x:v>0.4</x:v>
      </x:c>
      <x:c r="R4" s="30" t="n">
        <x:v>0</x:v>
      </x:c>
      <x:c r="S4" s="30" t="n">
        <x:v>0.4</x:v>
      </x:c>
      <x:c r="T4" s="30" t="n">
        <x:v>0</x:v>
      </x:c>
      <x:c r="U4" s="26" t="str">
        <x:v>نگرانی</x:v>
      </x:c>
    </x:row>
    <x:row r="5">
      <x:c r="A5" s="26" t="n">
        <x:v>4</x:v>
      </x:c>
      <x:c r="B5" s="26" t="str">
        <x:v>امنیت و ثبات</x:v>
      </x:c>
      <x:c r="C5" s="26" t="str">
        <x:v>ریشه</x:v>
      </x:c>
      <x:c r="D5" s="26" t="str">
        <x:v>در هفته‌های شلوغ، چقدر به نظم خواب و غذا توجه می‌کنید؟</x:v>
      </x:c>
      <x:c r="E5" s="26" t="str">
        <x:v>تقریباً رها می‌شود</x:v>
      </x:c>
      <x:c r="F5" s="26" t="str">
        <x:v>گاهی فراموش می‌کنم</x:v>
      </x:c>
      <x:c r="G5" s="26" t="str">
        <x:v>تا حدی مراقبم</x:v>
      </x:c>
      <x:c r="H5" s="26" t="str">
        <x:v>برایم اولویت دارد</x:v>
      </x:c>
      <x:c r="I5" s="26" t="str">
        <x:v>مستقیم</x:v>
      </x:c>
      <x:c r="J5" s="30" t="n">
        <x:v>0.7</x:v>
      </x:c>
      <x:c r="K5" s="30" t="n">
        <x:v>0</x:v>
      </x:c>
      <x:c r="L5" s="30" t="n">
        <x:v>0.2</x:v>
      </x:c>
      <x:c r="M5" s="30" t="n">
        <x:v>0</x:v>
      </x:c>
      <x:c r="N5" s="30" t="n">
        <x:v>0</x:v>
      </x:c>
      <x:c r="O5" s="30" t="n">
        <x:v>0</x:v>
      </x:c>
      <x:c r="P5" s="30" t="n">
        <x:v>0</x:v>
      </x:c>
      <x:c r="Q5" s="30" t="n">
        <x:v>0</x:v>
      </x:c>
      <x:c r="R5" s="30" t="n">
        <x:v>0</x:v>
      </x:c>
      <x:c r="S5" s="30" t="n">
        <x:v>1</x:v>
      </x:c>
      <x:c r="T5" s="30" t="n">
        <x:v>0</x:v>
      </x:c>
      <x:c r="U5" s="26" t="str">
        <x:v>سلامتی</x:v>
      </x:c>
    </x:row>
    <x:row r="6">
      <x:c r="A6" s="26" t="n">
        <x:v>5</x:v>
      </x:c>
      <x:c r="B6" s="26" t="str">
        <x:v>امنیت و ثبات</x:v>
      </x:c>
      <x:c r="C6" s="26" t="str">
        <x:v>ریشه</x:v>
      </x:c>
      <x:c r="D6" s="26" t="str">
        <x:v>وقتی احساس فشار دارید، چقدر به بدن خود توجه می‌کنید؟</x:v>
      </x:c>
      <x:c r="E6" s="26" t="str">
        <x:v>معمولاً نادیده می‌گیرم</x:v>
      </x:c>
      <x:c r="F6" s="26" t="str">
        <x:v>وقتی خیلی خسته شوم توجه می‌کنم</x:v>
      </x:c>
      <x:c r="G6" s="26" t="str">
        <x:v>گاهی استراحت می‌کنم</x:v>
      </x:c>
      <x:c r="H6" s="26" t="str">
        <x:v>زود متوجه بدنم می‌شوم و رسیدگی می‌کنم</x:v>
      </x:c>
      <x:c r="I6" s="26" t="str">
        <x:v>مستقیم</x:v>
      </x:c>
      <x:c r="J6" s="30" t="n">
        <x:v>0.7</x:v>
      </x:c>
      <x:c r="K6" s="30" t="n">
        <x:v>0.2</x:v>
      </x:c>
      <x:c r="L6" s="30" t="n">
        <x:v>0</x:v>
      </x:c>
      <x:c r="M6" s="30" t="n">
        <x:v>0</x:v>
      </x:c>
      <x:c r="N6" s="30" t="n">
        <x:v>0</x:v>
      </x:c>
      <x:c r="O6" s="30" t="n">
        <x:v>0</x:v>
      </x:c>
      <x:c r="P6" s="30" t="n">
        <x:v>0</x:v>
      </x:c>
      <x:c r="Q6" s="30" t="n">
        <x:v>0</x:v>
      </x:c>
      <x:c r="R6" s="30" t="n">
        <x:v>0</x:v>
      </x:c>
      <x:c r="S6" s="30" t="n">
        <x:v>1</x:v>
      </x:c>
      <x:c r="T6" s="30" t="n">
        <x:v>0</x:v>
      </x:c>
      <x:c r="U6" s="26" t="str">
        <x:v>بدن</x:v>
      </x:c>
    </x:row>
    <x:row r="7">
      <x:c r="A7" s="26" t="n">
        <x:v>6</x:v>
      </x:c>
      <x:c r="B7" s="26" t="str">
        <x:v>امنیت و ثبات</x:v>
      </x:c>
      <x:c r="C7" s="26" t="str">
        <x:v>ریشه</x:v>
      </x:c>
      <x:c r="D7" s="26" t="str">
        <x:v>چقدر پیش می‌آید از ترس آینده، امروزتان را خراب کنید؟</x:v>
      </x:c>
      <x:c r="E7" s="26" t="str">
        <x:v>خیلی زیاد</x:v>
      </x:c>
      <x:c r="F7" s="26" t="str">
        <x:v>نسبتاً زیاد</x:v>
      </x:c>
      <x:c r="G7" s="26" t="str">
        <x:v>گاهی</x:v>
      </x:c>
      <x:c r="H7" s="26" t="str">
        <x:v>خیلی کم</x:v>
      </x:c>
      <x:c r="I7" s="26" t="str">
        <x:v>معکوس</x:v>
      </x:c>
      <x:c r="J7" s="30" t="n">
        <x:v>1</x:v>
      </x:c>
      <x:c r="K7" s="30" t="n">
        <x:v>0</x:v>
      </x:c>
      <x:c r="L7" s="30" t="n">
        <x:v>0</x:v>
      </x:c>
      <x:c r="M7" s="30" t="n">
        <x:v>0</x:v>
      </x:c>
      <x:c r="N7" s="30" t="n">
        <x:v>0</x:v>
      </x:c>
      <x:c r="O7" s="30" t="n">
        <x:v>0</x:v>
      </x:c>
      <x:c r="P7" s="30" t="n">
        <x:v>0</x:v>
      </x:c>
      <x:c r="Q7" s="30" t="n">
        <x:v>0.5</x:v>
      </x:c>
      <x:c r="R7" s="30" t="n">
        <x:v>0</x:v>
      </x:c>
      <x:c r="S7" s="30" t="n">
        <x:v>0.4</x:v>
      </x:c>
      <x:c r="T7" s="30" t="n">
        <x:v>0</x:v>
      </x:c>
      <x:c r="U7" s="26" t="str">
        <x:v>ترس</x:v>
      </x:c>
    </x:row>
    <x:row r="8">
      <x:c r="A8" s="26" t="n">
        <x:v>7</x:v>
      </x:c>
      <x:c r="B8" s="26" t="str">
        <x:v>امنیت و ثبات</x:v>
      </x:c>
      <x:c r="C8" s="26" t="str">
        <x:v>ریشه</x:v>
      </x:c>
      <x:c r="D8" s="26" t="str">
        <x:v>وقتی در جمع یا خانواده نظری مخالف شما مطرح می‌شود، حس امنیت درونی‌تان چطور است؟</x:v>
      </x:c>
      <x:c r="E8" s="26" t="str">
        <x:v>سریع احساس تهدید می‌کنم</x:v>
      </x:c>
      <x:c r="F8" s="26" t="str">
        <x:v>دفاعی می‌شوم</x:v>
      </x:c>
      <x:c r="G8" s="26" t="str">
        <x:v>سعی می‌کنم آرام بمانم</x:v>
      </x:c>
      <x:c r="H8" s="26" t="str">
        <x:v>می‌توانم بدون تهدید شدن گوش بدهم</x:v>
      </x:c>
      <x:c r="I8" s="26" t="str">
        <x:v>مستقیم</x:v>
      </x:c>
      <x:c r="J8" s="30" t="n">
        <x:v>0.8</x:v>
      </x:c>
      <x:c r="K8" s="30" t="n">
        <x:v>0</x:v>
      </x:c>
      <x:c r="L8" s="30" t="n">
        <x:v>0</x:v>
      </x:c>
      <x:c r="M8" s="30" t="n">
        <x:v>0.2</x:v>
      </x:c>
      <x:c r="N8" s="30" t="n">
        <x:v>0.2</x:v>
      </x:c>
      <x:c r="O8" s="30" t="n">
        <x:v>0</x:v>
      </x:c>
      <x:c r="P8" s="30" t="n">
        <x:v>0</x:v>
      </x:c>
      <x:c r="Q8" s="30" t="n">
        <x:v>0</x:v>
      </x:c>
      <x:c r="R8" s="30" t="n">
        <x:v>0</x:v>
      </x:c>
      <x:c r="S8" s="30" t="n">
        <x:v>0</x:v>
      </x:c>
      <x:c r="T8" s="30" t="n">
        <x:v>0</x:v>
      </x:c>
      <x:c r="U8" s="26" t="str">
        <x:v>امنیت عاطفی</x:v>
      </x:c>
    </x:row>
    <x:row r="9">
      <x:c r="A9" s="26" t="n">
        <x:v>8</x:v>
      </x:c>
      <x:c r="B9" s="26" t="str">
        <x:v>امنیت و ثبات</x:v>
      </x:c>
      <x:c r="C9" s="26" t="str">
        <x:v>ریشه</x:v>
      </x:c>
      <x:c r="D9" s="26" t="str">
        <x:v>در مدیریت وسایل، زمان و کارهای شخصی معمولاً چه الگویی دارید؟</x:v>
      </x:c>
      <x:c r="E9" s="26" t="str">
        <x:v>خیلی بی‌نظم و پراکنده</x:v>
      </x:c>
      <x:c r="F9" s="26" t="str">
        <x:v>گاهی منظم، گاهی رها</x:v>
      </x:c>
      <x:c r="G9" s="26" t="str">
        <x:v>نسبتاً منظم</x:v>
      </x:c>
      <x:c r="H9" s="26" t="str">
        <x:v>نظم ساده و پایدار دارم</x:v>
      </x:c>
      <x:c r="I9" s="26" t="str">
        <x:v>مستقیم</x:v>
      </x:c>
      <x:c r="J9" s="30" t="n">
        <x:v>0.8</x:v>
      </x:c>
      <x:c r="K9" s="30" t="n">
        <x:v>0</x:v>
      </x:c>
      <x:c r="L9" s="30" t="n">
        <x:v>0.4</x:v>
      </x:c>
      <x:c r="M9" s="30" t="n">
        <x:v>0</x:v>
      </x:c>
      <x:c r="N9" s="30" t="n">
        <x:v>0</x:v>
      </x:c>
      <x:c r="O9" s="30" t="n">
        <x:v>0</x:v>
      </x:c>
      <x:c r="P9" s="30" t="n">
        <x:v>0</x:v>
      </x:c>
      <x:c r="Q9" s="30" t="n">
        <x:v>0</x:v>
      </x:c>
      <x:c r="R9" s="30" t="n">
        <x:v>0</x:v>
      </x:c>
      <x:c r="S9" s="30" t="n">
        <x:v>0.3</x:v>
      </x:c>
      <x:c r="T9" s="30" t="n">
        <x:v>0</x:v>
      </x:c>
      <x:c r="U9" s="26" t="str">
        <x:v>نظم</x:v>
      </x:c>
    </x:row>
    <x:row r="10">
      <x:c r="A10" s="26" t="n">
        <x:v>9</x:v>
      </x:c>
      <x:c r="B10" s="26" t="str">
        <x:v>امنیت و ثبات</x:v>
      </x:c>
      <x:c r="C10" s="26" t="str">
        <x:v>ریشه</x:v>
      </x:c>
      <x:c r="D10" s="26" t="str">
        <x:v>اگر یک مسیر زندگی یا کاری عوض شود، معمولاً چه احساسی دارید؟</x:v>
      </x:c>
      <x:c r="E10" s="26" t="str">
        <x:v>احساس می‌کنم زمین زیر پایم خالی شده</x:v>
      </x:c>
      <x:c r="F10" s="26" t="str">
        <x:v>نگران می‌شوم و مقاومت می‌کنم</x:v>
      </x:c>
      <x:c r="G10" s="26" t="str">
        <x:v>با ترس اما حرکت می‌کنم</x:v>
      </x:c>
      <x:c r="H10" s="26" t="str">
        <x:v>تغییر را بخشی از مسیر می‌دانم</x:v>
      </x:c>
      <x:c r="I10" s="26" t="str">
        <x:v>مستقیم</x:v>
      </x:c>
      <x:c r="J10" s="30" t="n">
        <x:v>0.8</x:v>
      </x:c>
      <x:c r="K10" s="30" t="n">
        <x:v>0</x:v>
      </x:c>
      <x:c r="L10" s="30" t="n">
        <x:v>0</x:v>
      </x:c>
      <x:c r="M10" s="30" t="n">
        <x:v>0</x:v>
      </x:c>
      <x:c r="N10" s="30" t="n">
        <x:v>0</x:v>
      </x:c>
      <x:c r="O10" s="30" t="n">
        <x:v>0</x:v>
      </x:c>
      <x:c r="P10" s="30" t="n">
        <x:v>0.2</x:v>
      </x:c>
      <x:c r="Q10" s="30" t="n">
        <x:v>0.3</x:v>
      </x:c>
      <x:c r="R10" s="30" t="n">
        <x:v>0</x:v>
      </x:c>
      <x:c r="S10" s="30" t="n">
        <x:v>0</x:v>
      </x:c>
      <x:c r="T10" s="30" t="n">
        <x:v>0</x:v>
      </x:c>
      <x:c r="U10" s="26" t="str">
        <x:v>تغییر</x:v>
      </x:c>
    </x:row>
    <x:row r="11">
      <x:c r="A11" s="26" t="n">
        <x:v>10</x:v>
      </x:c>
      <x:c r="B11" s="26" t="str">
        <x:v>امنیت و ثبات</x:v>
      </x:c>
      <x:c r="C11" s="26" t="str">
        <x:v>ریشه</x:v>
      </x:c>
      <x:c r="D11" s="26" t="str">
        <x:v>چقدر احساس می‌کنید برای روزهای سخت، یک پشتوانه درونی دارید؟</x:v>
      </x:c>
      <x:c r="E11" s="26" t="str">
        <x:v>تقریباً ندارم</x:v>
      </x:c>
      <x:c r="F11" s="26" t="str">
        <x:v>گاهی دارم</x:v>
      </x:c>
      <x:c r="G11" s="26" t="str">
        <x:v>نسبتاً دارم</x:v>
      </x:c>
      <x:c r="H11" s="26" t="str">
        <x:v>کاملاً حس می‌کنم از پسش برمی‌آیم</x:v>
      </x:c>
      <x:c r="I11" s="26" t="str">
        <x:v>مستقیم</x:v>
      </x:c>
      <x:c r="J11" s="30" t="n">
        <x:v>1</x:v>
      </x:c>
      <x:c r="K11" s="30" t="n">
        <x:v>0</x:v>
      </x:c>
      <x:c r="L11" s="30" t="n">
        <x:v>0.3</x:v>
      </x:c>
      <x:c r="M11" s="30" t="n">
        <x:v>0</x:v>
      </x:c>
      <x:c r="N11" s="30" t="n">
        <x:v>0</x:v>
      </x:c>
      <x:c r="O11" s="30" t="n">
        <x:v>0</x:v>
      </x:c>
      <x:c r="P11" s="30" t="n">
        <x:v>0</x:v>
      </x:c>
      <x:c r="Q11" s="30" t="n">
        <x:v>0.4</x:v>
      </x:c>
      <x:c r="R11" s="30" t="n">
        <x:v>0</x:v>
      </x:c>
      <x:c r="S11" s="30" t="n">
        <x:v>0.3</x:v>
      </x:c>
      <x:c r="T11" s="30" t="n">
        <x:v>0</x:v>
      </x:c>
      <x:c r="U11" s="26" t="str">
        <x:v>پشتوانه</x:v>
      </x:c>
    </x:row>
    <x:row r="12">
      <x:c r="A12" s="26" t="n">
        <x:v>11</x:v>
      </x:c>
      <x:c r="B12" s="26" t="str">
        <x:v>احساسات و لذت</x:v>
      </x:c>
      <x:c r="C12" s="26" t="str">
        <x:v>خاجی</x:v>
      </x:c>
      <x:c r="D12" s="26" t="str">
        <x:v>آخرین باری که فقط برای دل خودتان کاری کردید، چه زمانی بود؟</x:v>
      </x:c>
      <x:c r="E12" s="26" t="str">
        <x:v>یادم نمی‌آید</x:v>
      </x:c>
      <x:c r="F12" s="26" t="str">
        <x:v>مدت زیادی گذشته</x:v>
      </x:c>
      <x:c r="G12" s="26" t="str">
        <x:v>در هفته‌های اخیر</x:v>
      </x:c>
      <x:c r="H12" s="26" t="str">
        <x:v>در چند روز اخیر</x:v>
      </x:c>
      <x:c r="I12" s="26" t="str">
        <x:v>مستقیم</x:v>
      </x:c>
      <x:c r="J12" s="30" t="n">
        <x:v>0</x:v>
      </x:c>
      <x:c r="K12" s="30" t="n">
        <x:v>1</x:v>
      </x:c>
      <x:c r="L12" s="30" t="n">
        <x:v>0</x:v>
      </x:c>
      <x:c r="M12" s="30" t="n">
        <x:v>0.2</x:v>
      </x:c>
      <x:c r="N12" s="30" t="n">
        <x:v>0</x:v>
      </x:c>
      <x:c r="O12" s="30" t="n">
        <x:v>0</x:v>
      </x:c>
      <x:c r="P12" s="30" t="n">
        <x:v>0</x:v>
      </x:c>
      <x:c r="Q12" s="30" t="n">
        <x:v>0</x:v>
      </x:c>
      <x:c r="R12" s="30" t="n">
        <x:v>0.5</x:v>
      </x:c>
      <x:c r="S12" s="30" t="n">
        <x:v>0.3</x:v>
      </x:c>
      <x:c r="T12" s="30" t="n">
        <x:v>0</x:v>
      </x:c>
      <x:c r="U12" s="26" t="str">
        <x:v>لذت</x:v>
      </x:c>
    </x:row>
    <x:row r="13">
      <x:c r="A13" s="26" t="n">
        <x:v>12</x:v>
      </x:c>
      <x:c r="B13" s="26" t="str">
        <x:v>احساسات و لذت</x:v>
      </x:c>
      <x:c r="C13" s="26" t="str">
        <x:v>خاجی</x:v>
      </x:c>
      <x:c r="D13" s="26" t="str">
        <x:v>وقتی ناراحت می‌شوید، معمولاً با احساس خود چه می‌کنید؟</x:v>
      </x:c>
      <x:c r="E13" s="26" t="str">
        <x:v>کاملاً سرکوبش می‌کنم</x:v>
      </x:c>
      <x:c r="F13" s="26" t="str">
        <x:v>حواس خودم را پرت می‌کنم</x:v>
      </x:c>
      <x:c r="G13" s="26" t="str">
        <x:v>سعی می‌کنم بفهممش</x:v>
      </x:c>
      <x:c r="H13" s="26" t="str">
        <x:v>به خودم اجازه تجربه و عبور می‌دهم</x:v>
      </x:c>
      <x:c r="I13" s="26" t="str">
        <x:v>مستقیم</x:v>
      </x:c>
      <x:c r="J13" s="30" t="n">
        <x:v>0</x:v>
      </x:c>
      <x:c r="K13" s="30" t="n">
        <x:v>0.9</x:v>
      </x:c>
      <x:c r="L13" s="30" t="n">
        <x:v>0</x:v>
      </x:c>
      <x:c r="M13" s="30" t="n">
        <x:v>0.5</x:v>
      </x:c>
      <x:c r="N13" s="30" t="n">
        <x:v>0</x:v>
      </x:c>
      <x:c r="O13" s="30" t="n">
        <x:v>0</x:v>
      </x:c>
      <x:c r="P13" s="30" t="n">
        <x:v>0</x:v>
      </x:c>
      <x:c r="Q13" s="30" t="n">
        <x:v>0</x:v>
      </x:c>
      <x:c r="R13" s="30" t="n">
        <x:v>1</x:v>
      </x:c>
      <x:c r="S13" s="30" t="n">
        <x:v>0</x:v>
      </x:c>
      <x:c r="T13" s="30" t="n">
        <x:v>0</x:v>
      </x:c>
      <x:c r="U13" s="26" t="str">
        <x:v>احساسات</x:v>
      </x:c>
    </x:row>
    <x:row r="14">
      <x:c r="A14" s="26" t="n">
        <x:v>13</x:v>
      </x:c>
      <x:c r="B14" s="26" t="str">
        <x:v>احساسات و لذت</x:v>
      </x:c>
      <x:c r="C14" s="26" t="str">
        <x:v>خاجی</x:v>
      </x:c>
      <x:c r="D14" s="26" t="str">
        <x:v>در زندگی روزمره، خلاقیت شما چقدر فرصت بروز دارد؟</x:v>
      </x:c>
      <x:c r="E14" s="26" t="str">
        <x:v>تقریباً هیچ</x:v>
      </x:c>
      <x:c r="F14" s="26" t="str">
        <x:v>خیلی کم</x:v>
      </x:c>
      <x:c r="G14" s="26" t="str">
        <x:v>گاهی</x:v>
      </x:c>
      <x:c r="H14" s="26" t="str">
        <x:v>زیاد و طبیعی</x:v>
      </x:c>
      <x:c r="I14" s="26" t="str">
        <x:v>مستقیم</x:v>
      </x:c>
      <x:c r="J14" s="30" t="n">
        <x:v>0</x:v>
      </x:c>
      <x:c r="K14" s="30" t="n">
        <x:v>1</x:v>
      </x:c>
      <x:c r="L14" s="30" t="n">
        <x:v>0.3</x:v>
      </x:c>
      <x:c r="M14" s="30" t="n">
        <x:v>0</x:v>
      </x:c>
      <x:c r="N14" s="30" t="n">
        <x:v>0</x:v>
      </x:c>
      <x:c r="O14" s="30" t="n">
        <x:v>0</x:v>
      </x:c>
      <x:c r="P14" s="30" t="n">
        <x:v>0</x:v>
      </x:c>
      <x:c r="Q14" s="30" t="n">
        <x:v>0.2</x:v>
      </x:c>
      <x:c r="R14" s="30" t="n">
        <x:v>0.2</x:v>
      </x:c>
      <x:c r="S14" s="30" t="n">
        <x:v>0</x:v>
      </x:c>
      <x:c r="T14" s="30" t="n">
        <x:v>0</x:v>
      </x:c>
      <x:c r="U14" s="26" t="str">
        <x:v>خلاقیت</x:v>
      </x:c>
    </x:row>
    <x:row r="15">
      <x:c r="A15" s="26" t="n">
        <x:v>14</x:v>
      </x:c>
      <x:c r="B15" s="26" t="str">
        <x:v>احساسات و لذت</x:v>
      </x:c>
      <x:c r="C15" s="26" t="str">
        <x:v>خاجی</x:v>
      </x:c>
      <x:c r="D15" s="26" t="str">
        <x:v>وقتی کسی احساس شما را کوچک می‌کند، چه می‌کنید؟</x:v>
      </x:c>
      <x:c r="E15" s="26" t="str">
        <x:v>خودم را مقصر می‌دانم</x:v>
      </x:c>
      <x:c r="F15" s="26" t="str">
        <x:v>سکوت می‌کنم و ناراحت می‌مانم</x:v>
      </x:c>
      <x:c r="G15" s="26" t="str">
        <x:v>بعداً توضیح می‌دهم</x:v>
      </x:c>
      <x:c r="H15" s="26" t="str">
        <x:v>همان لحظه محترمانه بیان می‌کنم</x:v>
      </x:c>
      <x:c r="I15" s="26" t="str">
        <x:v>مستقیم</x:v>
      </x:c>
      <x:c r="J15" s="30" t="n">
        <x:v>0</x:v>
      </x:c>
      <x:c r="K15" s="30" t="n">
        <x:v>0.6</x:v>
      </x:c>
      <x:c r="L15" s="30" t="n">
        <x:v>0</x:v>
      </x:c>
      <x:c r="M15" s="30" t="n">
        <x:v>0.4</x:v>
      </x:c>
      <x:c r="N15" s="30" t="n">
        <x:v>0.6</x:v>
      </x:c>
      <x:c r="O15" s="30" t="n">
        <x:v>0</x:v>
      </x:c>
      <x:c r="P15" s="30" t="n">
        <x:v>0</x:v>
      </x:c>
      <x:c r="Q15" s="30" t="n">
        <x:v>0</x:v>
      </x:c>
      <x:c r="R15" s="30" t="n">
        <x:v>0.7</x:v>
      </x:c>
      <x:c r="S15" s="30" t="n">
        <x:v>0</x:v>
      </x:c>
      <x:c r="T15" s="30" t="n">
        <x:v>0</x:v>
      </x:c>
      <x:c r="U15" s="26" t="str">
        <x:v>مرز احساسی</x:v>
      </x:c>
    </x:row>
    <x:row r="16">
      <x:c r="A16" s="26" t="n">
        <x:v>15</x:v>
      </x:c>
      <x:c r="B16" s="26" t="str">
        <x:v>احساسات و لذت</x:v>
      </x:c>
      <x:c r="C16" s="26" t="str">
        <x:v>خاجی</x:v>
      </x:c>
      <x:c r="D16" s="26" t="str">
        <x:v>چقدر به خودتان اجازه شادی و سبک‌بودن می‌دهید؟</x:v>
      </x:c>
      <x:c r="E16" s="26" t="str">
        <x:v>خیلی کم</x:v>
      </x:c>
      <x:c r="F16" s="26" t="str">
        <x:v>گاهی با عذاب وجدان</x:v>
      </x:c>
      <x:c r="G16" s="26" t="str">
        <x:v>گاهی بدون سخت‌گیری</x:v>
      </x:c>
      <x:c r="H16" s="26" t="str">
        <x:v>به‌طور طبیعی و سالم</x:v>
      </x:c>
      <x:c r="I16" s="26" t="str">
        <x:v>مستقیم</x:v>
      </x:c>
      <x:c r="J16" s="30" t="n">
        <x:v>0</x:v>
      </x:c>
      <x:c r="K16" s="30" t="n">
        <x:v>1</x:v>
      </x:c>
      <x:c r="L16" s="30" t="n">
        <x:v>0</x:v>
      </x:c>
      <x:c r="M16" s="30" t="n">
        <x:v>0.2</x:v>
      </x:c>
      <x:c r="N16" s="30" t="n">
        <x:v>0</x:v>
      </x:c>
      <x:c r="O16" s="30" t="n">
        <x:v>0</x:v>
      </x:c>
      <x:c r="P16" s="30" t="n">
        <x:v>0</x:v>
      </x:c>
      <x:c r="Q16" s="30" t="n">
        <x:v>0</x:v>
      </x:c>
      <x:c r="R16" s="30" t="n">
        <x:v>0</x:v>
      </x:c>
      <x:c r="S16" s="30" t="n">
        <x:v>0.3</x:v>
      </x:c>
      <x:c r="T16" s="30" t="n">
        <x:v>0</x:v>
      </x:c>
      <x:c r="U16" s="26" t="str">
        <x:v>شادی</x:v>
      </x:c>
    </x:row>
    <x:row r="17">
      <x:c r="A17" s="26" t="n">
        <x:v>16</x:v>
      </x:c>
      <x:c r="B17" s="26" t="str">
        <x:v>احساسات و لذت</x:v>
      </x:c>
      <x:c r="C17" s="26" t="str">
        <x:v>خاجی</x:v>
      </x:c>
      <x:c r="D17" s="26" t="str">
        <x:v>وقتی زندگی جدی و سنگین می‌شود، شما معمولاً چه می‌کنید؟</x:v>
      </x:c>
      <x:c r="E17" s="26" t="str">
        <x:v>کاملاً خشک و بسته می‌شوم</x:v>
      </x:c>
      <x:c r="F17" s="26" t="str">
        <x:v>لذت را عقب می‌اندازم</x:v>
      </x:c>
      <x:c r="G17" s="26" t="str">
        <x:v>گاهی تعادل ایجاد می‌کنم</x:v>
      </x:c>
      <x:c r="H17" s="26" t="str">
        <x:v>هم مسئولیت دارم هم فضا برای لذت</x:v>
      </x:c>
      <x:c r="I17" s="26" t="str">
        <x:v>مستقیم</x:v>
      </x:c>
      <x:c r="J17" s="30" t="n">
        <x:v>0.3</x:v>
      </x:c>
      <x:c r="K17" s="30" t="n">
        <x:v>0.9</x:v>
      </x:c>
      <x:c r="L17" s="30" t="n">
        <x:v>0</x:v>
      </x:c>
      <x:c r="M17" s="30" t="n">
        <x:v>0</x:v>
      </x:c>
      <x:c r="N17" s="30" t="n">
        <x:v>0</x:v>
      </x:c>
      <x:c r="O17" s="30" t="n">
        <x:v>0</x:v>
      </x:c>
      <x:c r="P17" s="30" t="n">
        <x:v>0</x:v>
      </x:c>
      <x:c r="Q17" s="30" t="n">
        <x:v>0</x:v>
      </x:c>
      <x:c r="R17" s="30" t="n">
        <x:v>0</x:v>
      </x:c>
      <x:c r="S17" s="30" t="n">
        <x:v>0.4</x:v>
      </x:c>
      <x:c r="T17" s="30" t="n">
        <x:v>0</x:v>
      </x:c>
      <x:c r="U17" s="26" t="str">
        <x:v>تعادل لذت</x:v>
      </x:c>
    </x:row>
    <x:row r="18">
      <x:c r="A18" s="26" t="n">
        <x:v>17</x:v>
      </x:c>
      <x:c r="B18" s="26" t="str">
        <x:v>احساسات و لذت</x:v>
      </x:c>
      <x:c r="C18" s="26" t="str">
        <x:v>خاجی</x:v>
      </x:c>
      <x:c r="D18" s="26" t="str">
        <x:v>چقدر پیش می‌آید از نیازهای احساسی خود خجالت بکشید؟</x:v>
      </x:c>
      <x:c r="E18" s="26" t="str">
        <x:v>خیلی زیاد</x:v>
      </x:c>
      <x:c r="F18" s="26" t="str">
        <x:v>نسبتاً زیاد</x:v>
      </x:c>
      <x:c r="G18" s="26" t="str">
        <x:v>گاهی</x:v>
      </x:c>
      <x:c r="H18" s="26" t="str">
        <x:v>خیلی کم</x:v>
      </x:c>
      <x:c r="I18" s="26" t="str">
        <x:v>معکوس</x:v>
      </x:c>
      <x:c r="J18" s="30" t="n">
        <x:v>0</x:v>
      </x:c>
      <x:c r="K18" s="30" t="n">
        <x:v>0.8</x:v>
      </x:c>
      <x:c r="L18" s="30" t="n">
        <x:v>0</x:v>
      </x:c>
      <x:c r="M18" s="30" t="n">
        <x:v>0.5</x:v>
      </x:c>
      <x:c r="N18" s="30" t="n">
        <x:v>0</x:v>
      </x:c>
      <x:c r="O18" s="30" t="n">
        <x:v>0</x:v>
      </x:c>
      <x:c r="P18" s="30" t="n">
        <x:v>0</x:v>
      </x:c>
      <x:c r="Q18" s="30" t="n">
        <x:v>0</x:v>
      </x:c>
      <x:c r="R18" s="30" t="n">
        <x:v>0.8</x:v>
      </x:c>
      <x:c r="S18" s="30" t="n">
        <x:v>0</x:v>
      </x:c>
      <x:c r="T18" s="30" t="n">
        <x:v>0</x:v>
      </x:c>
      <x:c r="U18" s="26" t="str">
        <x:v>شرم احساسی</x:v>
      </x:c>
    </x:row>
    <x:row r="19">
      <x:c r="A19" s="26" t="n">
        <x:v>18</x:v>
      </x:c>
      <x:c r="B19" s="26" t="str">
        <x:v>احساسات و لذت</x:v>
      </x:c>
      <x:c r="C19" s="26" t="str">
        <x:v>خاجی</x:v>
      </x:c>
      <x:c r="D19" s="26" t="str">
        <x:v>در رابطه با پول، خرید یا خرج برای خودتان چه حسی دارید؟</x:v>
      </x:c>
      <x:c r="E19" s="26" t="str">
        <x:v>احساس گناه می‌کنم</x:v>
      </x:c>
      <x:c r="F19" s="26" t="str">
        <x:v>زیاد سخت می‌گیرم</x:v>
      </x:c>
      <x:c r="G19" s="26" t="str">
        <x:v>سعی می‌کنم متعادل باشم</x:v>
      </x:c>
      <x:c r="H19" s="26" t="str">
        <x:v>با آگاهی و آرامش برای خودم خرج می‌کنم</x:v>
      </x:c>
      <x:c r="I19" s="26" t="str">
        <x:v>مستقیم</x:v>
      </x:c>
      <x:c r="J19" s="30" t="n">
        <x:v>0.4</x:v>
      </x:c>
      <x:c r="K19" s="30" t="n">
        <x:v>0.4</x:v>
      </x:c>
      <x:c r="L19" s="30" t="n">
        <x:v>0</x:v>
      </x:c>
      <x:c r="M19" s="30" t="n">
        <x:v>0</x:v>
      </x:c>
      <x:c r="N19" s="30" t="n">
        <x:v>0</x:v>
      </x:c>
      <x:c r="O19" s="30" t="n">
        <x:v>0</x:v>
      </x:c>
      <x:c r="P19" s="30" t="n">
        <x:v>0</x:v>
      </x:c>
      <x:c r="Q19" s="30" t="n">
        <x:v>0.7</x:v>
      </x:c>
      <x:c r="R19" s="30" t="n">
        <x:v>0</x:v>
      </x:c>
      <x:c r="S19" s="30" t="n">
        <x:v>0</x:v>
      </x:c>
      <x:c r="T19" s="30" t="n">
        <x:v>0.3</x:v>
      </x:c>
      <x:c r="U19" s="26" t="str">
        <x:v>دریافت مالی</x:v>
      </x:c>
    </x:row>
    <x:row r="20">
      <x:c r="A20" s="26" t="n">
        <x:v>19</x:v>
      </x:c>
      <x:c r="B20" s="26" t="str">
        <x:v>احساسات و لذت</x:v>
      </x:c>
      <x:c r="C20" s="26" t="str">
        <x:v>خاجی</x:v>
      </x:c>
      <x:c r="D20" s="26" t="str">
        <x:v>وقتی ایده تازه‌ای به ذهنتان می‌رسد، معمولاً چه می‌شود؟</x:v>
      </x:c>
      <x:c r="E20" s="26" t="str">
        <x:v>نادیده‌اش می‌گیرم</x:v>
      </x:c>
      <x:c r="F20" s="26" t="str">
        <x:v>فقط درباره‌اش فکر می‌کنم</x:v>
      </x:c>
      <x:c r="G20" s="26" t="str">
        <x:v>گاهی امتحانش می‌کنم</x:v>
      </x:c>
      <x:c r="H20" s="26" t="str">
        <x:v>به آن فرصت تجربه می‌دهم</x:v>
      </x:c>
      <x:c r="I20" s="26" t="str">
        <x:v>مستقیم</x:v>
      </x:c>
      <x:c r="J20" s="30" t="n">
        <x:v>0</x:v>
      </x:c>
      <x:c r="K20" s="30" t="n">
        <x:v>0.8</x:v>
      </x:c>
      <x:c r="L20" s="30" t="n">
        <x:v>0.5</x:v>
      </x:c>
      <x:c r="M20" s="30" t="n">
        <x:v>0</x:v>
      </x:c>
      <x:c r="N20" s="30" t="n">
        <x:v>0</x:v>
      </x:c>
      <x:c r="O20" s="30" t="n">
        <x:v>0</x:v>
      </x:c>
      <x:c r="P20" s="30" t="n">
        <x:v>0</x:v>
      </x:c>
      <x:c r="Q20" s="30" t="n">
        <x:v>0.3</x:v>
      </x:c>
      <x:c r="R20" s="30" t="n">
        <x:v>0</x:v>
      </x:c>
      <x:c r="S20" s="30" t="n">
        <x:v>0</x:v>
      </x:c>
      <x:c r="T20" s="30" t="n">
        <x:v>0</x:v>
      </x:c>
      <x:c r="U20" s="26" t="str">
        <x:v>خلق</x:v>
      </x:c>
    </x:row>
    <x:row r="21">
      <x:c r="A21" s="26" t="n">
        <x:v>20</x:v>
      </x:c>
      <x:c r="B21" s="26" t="str">
        <x:v>احساسات و لذت</x:v>
      </x:c>
      <x:c r="C21" s="26" t="str">
        <x:v>خاجی</x:v>
      </x:c>
      <x:c r="D21" s="26" t="str">
        <x:v>چقدر می‌توانید بدون کنترل کردن همه چیز، از لحظه لذت ببرید؟</x:v>
      </x:c>
      <x:c r="E21" s="26" t="str">
        <x:v>تقریباً نمی‌توانم</x:v>
      </x:c>
      <x:c r="F21" s="26" t="str">
        <x:v>سخت است</x:v>
      </x:c>
      <x:c r="G21" s="26" t="str">
        <x:v>گاهی می‌توانم</x:v>
      </x:c>
      <x:c r="H21" s="26" t="str">
        <x:v>به‌راحتی و سالم</x:v>
      </x:c>
      <x:c r="I21" s="26" t="str">
        <x:v>مستقیم</x:v>
      </x:c>
      <x:c r="J21" s="30" t="n">
        <x:v>0.3</x:v>
      </x:c>
      <x:c r="K21" s="30" t="n">
        <x:v>0.9</x:v>
      </x:c>
      <x:c r="L21" s="30" t="n">
        <x:v>0</x:v>
      </x:c>
      <x:c r="M21" s="30" t="n">
        <x:v>0</x:v>
      </x:c>
      <x:c r="N21" s="30" t="n">
        <x:v>0</x:v>
      </x:c>
      <x:c r="O21" s="30" t="n">
        <x:v>0.2</x:v>
      </x:c>
      <x:c r="P21" s="30" t="n">
        <x:v>0</x:v>
      </x:c>
      <x:c r="Q21" s="30" t="n">
        <x:v>0</x:v>
      </x:c>
      <x:c r="R21" s="30" t="n">
        <x:v>0</x:v>
      </x:c>
      <x:c r="S21" s="30" t="n">
        <x:v>0.3</x:v>
      </x:c>
      <x:c r="T21" s="30" t="n">
        <x:v>0</x:v>
      </x:c>
      <x:c r="U21" s="26" t="str">
        <x:v>رهاسازی</x:v>
      </x:c>
    </x:row>
    <x:row r="22">
      <x:c r="A22" s="26" t="n">
        <x:v>21</x:v>
      </x:c>
      <x:c r="B22" s="26" t="str">
        <x:v>قدرت شخصی و اقدام</x:v>
      </x:c>
      <x:c r="C22" s="26" t="str">
        <x:v>خورشیدی</x:v>
      </x:c>
      <x:c r="D22" s="26" t="str">
        <x:v>وقتی فرصت تازه‌ای پیش می‌آید، معمولاً چه می‌کنید؟</x:v>
      </x:c>
      <x:c r="E22" s="26" t="str">
        <x:v>آن‌قدر فکر می‌کنم که فرصت می‌گذرد</x:v>
      </x:c>
      <x:c r="F22" s="26" t="str">
        <x:v>زیاد تردید می‌کنم</x:v>
      </x:c>
      <x:c r="G22" s="26" t="str">
        <x:v>بعد از بررسی اقدام می‌کنم</x:v>
      </x:c>
      <x:c r="H22" s="26" t="str">
        <x:v>با اعتماد و برنامه حرکت می‌کنم</x:v>
      </x:c>
      <x:c r="I22" s="26" t="str">
        <x:v>مستقیم</x:v>
      </x:c>
      <x:c r="J22" s="30" t="n">
        <x:v>0</x:v>
      </x:c>
      <x:c r="K22" s="30" t="n">
        <x:v>0</x:v>
      </x:c>
      <x:c r="L22" s="30" t="n">
        <x:v>1</x:v>
      </x:c>
      <x:c r="M22" s="30" t="n">
        <x:v>0</x:v>
      </x:c>
      <x:c r="N22" s="30" t="n">
        <x:v>0</x:v>
      </x:c>
      <x:c r="O22" s="30" t="n">
        <x:v>0.2</x:v>
      </x:c>
      <x:c r="P22" s="30" t="n">
        <x:v>0</x:v>
      </x:c>
      <x:c r="Q22" s="30" t="n">
        <x:v>0.6</x:v>
      </x:c>
      <x:c r="R22" s="30" t="n">
        <x:v>0</x:v>
      </x:c>
      <x:c r="S22" s="30" t="n">
        <x:v>0</x:v>
      </x:c>
      <x:c r="T22" s="30" t="n">
        <x:v>0</x:v>
      </x:c>
      <x:c r="U22" s="26" t="str">
        <x:v>اقدام</x:v>
      </x:c>
    </x:row>
    <x:row r="23">
      <x:c r="A23" s="26" t="n">
        <x:v>22</x:v>
      </x:c>
      <x:c r="B23" s="26" t="str">
        <x:v>قدرت شخصی و اقدام</x:v>
      </x:c>
      <x:c r="C23" s="26" t="str">
        <x:v>خورشیدی</x:v>
      </x:c>
      <x:c r="D23" s="26" t="str">
        <x:v>اگر قرار باشد کاری را شروع کنید که نتیجه‌اش قطعی نیست، بیشتر شبیه کدام هستید؟</x:v>
      </x:c>
      <x:c r="E23" s="26" t="str">
        <x:v>شروع نمی‌کنم</x:v>
      </x:c>
      <x:c r="F23" s="26" t="str">
        <x:v>خیلی دیر شروع می‌کنم</x:v>
      </x:c>
      <x:c r="G23" s="26" t="str">
        <x:v>با احتیاط شروع می‌کنم</x:v>
      </x:c>
      <x:c r="H23" s="26" t="str">
        <x:v>شروع می‌کنم و در مسیر اصلاح می‌کنم</x:v>
      </x:c>
      <x:c r="I23" s="26" t="str">
        <x:v>مستقیم</x:v>
      </x:c>
      <x:c r="J23" s="30" t="n">
        <x:v>0.3</x:v>
      </x:c>
      <x:c r="K23" s="30" t="n">
        <x:v>0</x:v>
      </x:c>
      <x:c r="L23" s="30" t="n">
        <x:v>1</x:v>
      </x:c>
      <x:c r="M23" s="30" t="n">
        <x:v>0</x:v>
      </x:c>
      <x:c r="N23" s="30" t="n">
        <x:v>0</x:v>
      </x:c>
      <x:c r="O23" s="30" t="n">
        <x:v>0</x:v>
      </x:c>
      <x:c r="P23" s="30" t="n">
        <x:v>0</x:v>
      </x:c>
      <x:c r="Q23" s="30" t="n">
        <x:v>0.5</x:v>
      </x:c>
      <x:c r="R23" s="30" t="n">
        <x:v>0</x:v>
      </x:c>
      <x:c r="S23" s="30" t="n">
        <x:v>0</x:v>
      </x:c>
      <x:c r="T23" s="30" t="n">
        <x:v>0</x:v>
      </x:c>
      <x:c r="U23" s="26" t="str">
        <x:v>ریسک سالم</x:v>
      </x:c>
    </x:row>
    <x:row r="24">
      <x:c r="A24" s="26" t="n">
        <x:v>23</x:v>
      </x:c>
      <x:c r="B24" s="26" t="str">
        <x:v>قدرت شخصی و اقدام</x:v>
      </x:c>
      <x:c r="C24" s="26" t="str">
        <x:v>خورشیدی</x:v>
      </x:c>
      <x:c r="D24" s="26" t="str">
        <x:v>چقدر تصمیم‌هایتان را به تأیید دیگران وابسته می‌کنید؟</x:v>
      </x:c>
      <x:c r="E24" s="26" t="str">
        <x:v>خیلی زیاد</x:v>
      </x:c>
      <x:c r="F24" s="26" t="str">
        <x:v>نسبتاً زیاد</x:v>
      </x:c>
      <x:c r="G24" s="26" t="str">
        <x:v>گاهی</x:v>
      </x:c>
      <x:c r="H24" s="26" t="str">
        <x:v>خیلی کم</x:v>
      </x:c>
      <x:c r="I24" s="26" t="str">
        <x:v>معکوس</x:v>
      </x:c>
      <x:c r="J24" s="30" t="n">
        <x:v>0</x:v>
      </x:c>
      <x:c r="K24" s="30" t="n">
        <x:v>0</x:v>
      </x:c>
      <x:c r="L24" s="30" t="n">
        <x:v>0.9</x:v>
      </x:c>
      <x:c r="M24" s="30" t="n">
        <x:v>0</x:v>
      </x:c>
      <x:c r="N24" s="30" t="n">
        <x:v>0.4</x:v>
      </x:c>
      <x:c r="O24" s="30" t="n">
        <x:v>0</x:v>
      </x:c>
      <x:c r="P24" s="30" t="n">
        <x:v>0</x:v>
      </x:c>
      <x:c r="Q24" s="30" t="n">
        <x:v>0.3</x:v>
      </x:c>
      <x:c r="R24" s="30" t="n">
        <x:v>0.3</x:v>
      </x:c>
      <x:c r="S24" s="30" t="n">
        <x:v>0</x:v>
      </x:c>
      <x:c r="T24" s="30" t="n">
        <x:v>0</x:v>
      </x:c>
      <x:c r="U24" s="26" t="str">
        <x:v>تأیید</x:v>
      </x:c>
    </x:row>
    <x:row r="25">
      <x:c r="A25" s="26" t="n">
        <x:v>24</x:v>
      </x:c>
      <x:c r="B25" s="26" t="str">
        <x:v>قدرت شخصی و اقدام</x:v>
      </x:c>
      <x:c r="C25" s="26" t="str">
        <x:v>خورشیدی</x:v>
      </x:c>
      <x:c r="D25" s="26" t="str">
        <x:v>وقتی اشتباه می‌کنید، واکنش درونی شما چیست؟</x:v>
      </x:c>
      <x:c r="E25" s="26" t="str">
        <x:v>خودم را شدید سرزنش می‌کنم</x:v>
      </x:c>
      <x:c r="F25" s="26" t="str">
        <x:v>مدتی درگیرش می‌شوم</x:v>
      </x:c>
      <x:c r="G25" s="26" t="str">
        <x:v>سعی می‌کنم درس بگیرم</x:v>
      </x:c>
      <x:c r="H25" s="26" t="str">
        <x:v>مسئولیت می‌پذیرم و ادامه می‌دهم</x:v>
      </x:c>
      <x:c r="I25" s="26" t="str">
        <x:v>مستقیم</x:v>
      </x:c>
      <x:c r="J25" s="30" t="n">
        <x:v>0</x:v>
      </x:c>
      <x:c r="K25" s="30" t="n">
        <x:v>0</x:v>
      </x:c>
      <x:c r="L25" s="30" t="n">
        <x:v>0.9</x:v>
      </x:c>
      <x:c r="M25" s="30" t="n">
        <x:v>0.3</x:v>
      </x:c>
      <x:c r="N25" s="30" t="n">
        <x:v>0</x:v>
      </x:c>
      <x:c r="O25" s="30" t="n">
        <x:v>0</x:v>
      </x:c>
      <x:c r="P25" s="30" t="n">
        <x:v>0</x:v>
      </x:c>
      <x:c r="Q25" s="30" t="n">
        <x:v>0</x:v>
      </x:c>
      <x:c r="R25" s="30" t="n">
        <x:v>0</x:v>
      </x:c>
      <x:c r="S25" s="30" t="n">
        <x:v>0.2</x:v>
      </x:c>
      <x:c r="T25" s="30" t="n">
        <x:v>0</x:v>
      </x:c>
      <x:c r="U25" s="26" t="str">
        <x:v>خطا</x:v>
      </x:c>
    </x:row>
    <x:row r="26">
      <x:c r="A26" s="26" t="n">
        <x:v>25</x:v>
      </x:c>
      <x:c r="B26" s="26" t="str">
        <x:v>قدرت شخصی و اقدام</x:v>
      </x:c>
      <x:c r="C26" s="26" t="str">
        <x:v>خورشیدی</x:v>
      </x:c>
      <x:c r="D26" s="26" t="str">
        <x:v>کارهای نیمه‌تمام در زندگی شما چقدر زیادند؟</x:v>
      </x:c>
      <x:c r="E26" s="26" t="str">
        <x:v>خیلی زیاد</x:v>
      </x:c>
      <x:c r="F26" s="26" t="str">
        <x:v>زیاد</x:v>
      </x:c>
      <x:c r="G26" s="26" t="str">
        <x:v>چند مورد</x:v>
      </x:c>
      <x:c r="H26" s="26" t="str">
        <x:v>کم و قابل مدیریت</x:v>
      </x:c>
      <x:c r="I26" s="26" t="str">
        <x:v>معکوس</x:v>
      </x:c>
      <x:c r="J26" s="30" t="n">
        <x:v>0.4</x:v>
      </x:c>
      <x:c r="K26" s="30" t="n">
        <x:v>0</x:v>
      </x:c>
      <x:c r="L26" s="30" t="n">
        <x:v>0.8</x:v>
      </x:c>
      <x:c r="M26" s="30" t="n">
        <x:v>0</x:v>
      </x:c>
      <x:c r="N26" s="30" t="n">
        <x:v>0</x:v>
      </x:c>
      <x:c r="O26" s="30" t="n">
        <x:v>0</x:v>
      </x:c>
      <x:c r="P26" s="30" t="n">
        <x:v>0</x:v>
      </x:c>
      <x:c r="Q26" s="30" t="n">
        <x:v>0.4</x:v>
      </x:c>
      <x:c r="R26" s="30" t="n">
        <x:v>0</x:v>
      </x:c>
      <x:c r="S26" s="30" t="n">
        <x:v>0</x:v>
      </x:c>
      <x:c r="T26" s="30" t="n">
        <x:v>0</x:v>
      </x:c>
      <x:c r="U26" s="26" t="str">
        <x:v>پیگیری</x:v>
      </x:c>
    </x:row>
    <x:row r="27">
      <x:c r="A27" s="26" t="n">
        <x:v>26</x:v>
      </x:c>
      <x:c r="B27" s="26" t="str">
        <x:v>قدرت شخصی و اقدام</x:v>
      </x:c>
      <x:c r="C27" s="26" t="str">
        <x:v>خورشیدی</x:v>
      </x:c>
      <x:c r="D27" s="26" t="str">
        <x:v>وقتی لازم است حق خودتان را بگیرید، معمولاً چه می‌کنید؟</x:v>
      </x:c>
      <x:c r="E27" s="26" t="str">
        <x:v>عقب می‌کشم</x:v>
      </x:c>
      <x:c r="F27" s="26" t="str">
        <x:v>با ناراحتی سکوت می‌کنم</x:v>
      </x:c>
      <x:c r="G27" s="26" t="str">
        <x:v>گاهی بیان می‌کنم</x:v>
      </x:c>
      <x:c r="H27" s="26" t="str">
        <x:v>آرام و محکم بیان می‌کنم</x:v>
      </x:c>
      <x:c r="I27" s="26" t="str">
        <x:v>مستقیم</x:v>
      </x:c>
      <x:c r="J27" s="30" t="n">
        <x:v>0</x:v>
      </x:c>
      <x:c r="K27" s="30" t="n">
        <x:v>0</x:v>
      </x:c>
      <x:c r="L27" s="30" t="n">
        <x:v>0.8</x:v>
      </x:c>
      <x:c r="M27" s="30" t="n">
        <x:v>0</x:v>
      </x:c>
      <x:c r="N27" s="30" t="n">
        <x:v>0.7</x:v>
      </x:c>
      <x:c r="O27" s="30" t="n">
        <x:v>0</x:v>
      </x:c>
      <x:c r="P27" s="30" t="n">
        <x:v>0</x:v>
      </x:c>
      <x:c r="Q27" s="30" t="n">
        <x:v>0.4</x:v>
      </x:c>
      <x:c r="R27" s="30" t="n">
        <x:v>0.2</x:v>
      </x:c>
      <x:c r="S27" s="30" t="n">
        <x:v>0</x:v>
      </x:c>
      <x:c r="T27" s="30" t="n">
        <x:v>0</x:v>
      </x:c>
      <x:c r="U27" s="26" t="str">
        <x:v>حق‌طلبی</x:v>
      </x:c>
    </x:row>
    <x:row r="28">
      <x:c r="A28" s="26" t="n">
        <x:v>27</x:v>
      </x:c>
      <x:c r="B28" s="26" t="str">
        <x:v>قدرت شخصی و اقدام</x:v>
      </x:c>
      <x:c r="C28" s="26" t="str">
        <x:v>خورشیدی</x:v>
      </x:c>
      <x:c r="D28" s="26" t="str">
        <x:v>چقدر در برابر مقایسه با دیگران آسیب‌پذیر هستید؟</x:v>
      </x:c>
      <x:c r="E28" s="26" t="str">
        <x:v>خیلی زیاد</x:v>
      </x:c>
      <x:c r="F28" s="26" t="str">
        <x:v>نسبتاً زیاد</x:v>
      </x:c>
      <x:c r="G28" s="26" t="str">
        <x:v>گاهی</x:v>
      </x:c>
      <x:c r="H28" s="26" t="str">
        <x:v>خیلی کم</x:v>
      </x:c>
      <x:c r="I28" s="26" t="str">
        <x:v>معکوس</x:v>
      </x:c>
      <x:c r="J28" s="30" t="n">
        <x:v>0</x:v>
      </x:c>
      <x:c r="K28" s="30" t="n">
        <x:v>0</x:v>
      </x:c>
      <x:c r="L28" s="30" t="n">
        <x:v>0.8</x:v>
      </x:c>
      <x:c r="M28" s="30" t="n">
        <x:v>0.2</x:v>
      </x:c>
      <x:c r="N28" s="30" t="n">
        <x:v>0</x:v>
      </x:c>
      <x:c r="O28" s="30" t="n">
        <x:v>0</x:v>
      </x:c>
      <x:c r="P28" s="30" t="n">
        <x:v>0</x:v>
      </x:c>
      <x:c r="Q28" s="30" t="n">
        <x:v>0.2</x:v>
      </x:c>
      <x:c r="R28" s="30" t="n">
        <x:v>0</x:v>
      </x:c>
      <x:c r="S28" s="30" t="n">
        <x:v>0</x:v>
      </x:c>
      <x:c r="T28" s="30" t="n">
        <x:v>0</x:v>
      </x:c>
      <x:c r="U28" s="26" t="str">
        <x:v>مقایسه</x:v>
      </x:c>
    </x:row>
    <x:row r="29">
      <x:c r="A29" s="26" t="n">
        <x:v>28</x:v>
      </x:c>
      <x:c r="B29" s="26" t="str">
        <x:v>قدرت شخصی و اقدام</x:v>
      </x:c>
      <x:c r="C29" s="26" t="str">
        <x:v>خورشیدی</x:v>
      </x:c>
      <x:c r="D29" s="26" t="str">
        <x:v>وقتی یک هدف برای خودتان می‌گذارید، معمولاً چه می‌شود؟</x:v>
      </x:c>
      <x:c r="E29" s="26" t="str">
        <x:v>زود رها می‌کنم</x:v>
      </x:c>
      <x:c r="F29" s="26" t="str">
        <x:v>شروع می‌کنم ولی ادامه سخت است</x:v>
      </x:c>
      <x:c r="G29" s="26" t="str">
        <x:v>تا حد خوبی ادامه می‌دهم</x:v>
      </x:c>
      <x:c r="H29" s="26" t="str">
        <x:v>با نظم پیگیری می‌کنم</x:v>
      </x:c>
      <x:c r="I29" s="26" t="str">
        <x:v>مستقیم</x:v>
      </x:c>
      <x:c r="J29" s="30" t="n">
        <x:v>0.3</x:v>
      </x:c>
      <x:c r="K29" s="30" t="n">
        <x:v>0</x:v>
      </x:c>
      <x:c r="L29" s="30" t="n">
        <x:v>1</x:v>
      </x:c>
      <x:c r="M29" s="30" t="n">
        <x:v>0</x:v>
      </x:c>
      <x:c r="N29" s="30" t="n">
        <x:v>0</x:v>
      </x:c>
      <x:c r="O29" s="30" t="n">
        <x:v>0</x:v>
      </x:c>
      <x:c r="P29" s="30" t="n">
        <x:v>0</x:v>
      </x:c>
      <x:c r="Q29" s="30" t="n">
        <x:v>0.4</x:v>
      </x:c>
      <x:c r="R29" s="30" t="n">
        <x:v>0</x:v>
      </x:c>
      <x:c r="S29" s="30" t="n">
        <x:v>0.2</x:v>
      </x:c>
      <x:c r="T29" s="30" t="n">
        <x:v>0</x:v>
      </x:c>
      <x:c r="U29" s="26" t="str">
        <x:v>هدف</x:v>
      </x:c>
    </x:row>
    <x:row r="30">
      <x:c r="A30" s="26" t="n">
        <x:v>29</x:v>
      </x:c>
      <x:c r="B30" s="26" t="str">
        <x:v>قدرت شخصی و اقدام</x:v>
      </x:c>
      <x:c r="C30" s="26" t="str">
        <x:v>خورشیدی</x:v>
      </x:c>
      <x:c r="D30" s="26" t="str">
        <x:v>در مذاکره، قیمت‌گذاری یا درخواست کردن، چقدر راحت هستید؟</x:v>
      </x:c>
      <x:c r="E30" s="26" t="str">
        <x:v>خیلی سخت و معذب</x:v>
      </x:c>
      <x:c r="F30" s="26" t="str">
        <x:v>تا حدی سخت</x:v>
      </x:c>
      <x:c r="G30" s="26" t="str">
        <x:v>نسبتاً راحت</x:v>
      </x:c>
      <x:c r="H30" s="26" t="str">
        <x:v>روشن و با احترام درخواست می‌کنم</x:v>
      </x:c>
      <x:c r="I30" s="26" t="str">
        <x:v>مستقیم</x:v>
      </x:c>
      <x:c r="J30" s="30" t="n">
        <x:v>0</x:v>
      </x:c>
      <x:c r="K30" s="30" t="n">
        <x:v>0</x:v>
      </x:c>
      <x:c r="L30" s="30" t="n">
        <x:v>0.7</x:v>
      </x:c>
      <x:c r="M30" s="30" t="n">
        <x:v>0</x:v>
      </x:c>
      <x:c r="N30" s="30" t="n">
        <x:v>0.8</x:v>
      </x:c>
      <x:c r="O30" s="30" t="n">
        <x:v>0</x:v>
      </x:c>
      <x:c r="P30" s="30" t="n">
        <x:v>0</x:v>
      </x:c>
      <x:c r="Q30" s="30" t="n">
        <x:v>1</x:v>
      </x:c>
      <x:c r="R30" s="30" t="n">
        <x:v>0</x:v>
      </x:c>
      <x:c r="S30" s="30" t="n">
        <x:v>0</x:v>
      </x:c>
      <x:c r="T30" s="30" t="n">
        <x:v>0.3</x:v>
      </x:c>
      <x:c r="U30" s="26" t="str">
        <x:v>ثروت</x:v>
      </x:c>
    </x:row>
    <x:row r="31">
      <x:c r="A31" s="26" t="n">
        <x:v>30</x:v>
      </x:c>
      <x:c r="B31" s="26" t="str">
        <x:v>قدرت شخصی و اقدام</x:v>
      </x:c>
      <x:c r="C31" s="26" t="str">
        <x:v>خورشیدی</x:v>
      </x:c>
      <x:c r="D31" s="26" t="str">
        <x:v>وقتی دیگران با شما مخالفت می‌کنند، قدرت تصمیم شما چه می‌شود؟</x:v>
      </x:c>
      <x:c r="E31" s="26" t="str">
        <x:v>کاملاً می‌ریزد</x:v>
      </x:c>
      <x:c r="F31" s="26" t="str">
        <x:v>خیلی کم می‌شود</x:v>
      </x:c>
      <x:c r="G31" s="26" t="str">
        <x:v>کمی تحت تأثیر قرار می‌گیرم</x:v>
      </x:c>
      <x:c r="H31" s="26" t="str">
        <x:v>به نظرها گوش می‌دهم اما تصمیمم را می‌سازم</x:v>
      </x:c>
      <x:c r="I31" s="26" t="str">
        <x:v>مستقیم</x:v>
      </x:c>
      <x:c r="J31" s="30" t="n">
        <x:v>0</x:v>
      </x:c>
      <x:c r="K31" s="30" t="n">
        <x:v>0</x:v>
      </x:c>
      <x:c r="L31" s="30" t="n">
        <x:v>0.9</x:v>
      </x:c>
      <x:c r="M31" s="30" t="n">
        <x:v>0</x:v>
      </x:c>
      <x:c r="N31" s="30" t="n">
        <x:v>0.3</x:v>
      </x:c>
      <x:c r="O31" s="30" t="n">
        <x:v>0.2</x:v>
      </x:c>
      <x:c r="P31" s="30" t="n">
        <x:v>0</x:v>
      </x:c>
      <x:c r="Q31" s="30" t="n">
        <x:v>0</x:v>
      </x:c>
      <x:c r="R31" s="30" t="n">
        <x:v>0</x:v>
      </x:c>
      <x:c r="S31" s="30" t="n">
        <x:v>0</x:v>
      </x:c>
      <x:c r="T31" s="30" t="n">
        <x:v>0</x:v>
      </x:c>
      <x:c r="U31" s="26" t="str">
        <x:v>استقلال</x:v>
      </x:c>
    </x:row>
    <x:row r="32">
      <x:c r="A32" s="26" t="n">
        <x:v>31</x:v>
      </x:c>
      <x:c r="B32" s="26" t="str">
        <x:v>عاطفه و رابطه</x:v>
      </x:c>
      <x:c r="C32" s="26" t="str">
        <x:v>قلب</x:v>
      </x:c>
      <x:c r="D32" s="26" t="str">
        <x:v>وقتی کسی از شما تعریف می‌کند، معمولاً چه واکنشی دارید؟</x:v>
      </x:c>
      <x:c r="E32" s="26" t="str">
        <x:v>سریع رد می‌کنم</x:v>
      </x:c>
      <x:c r="F32" s="26" t="str">
        <x:v>معذب می‌شوم</x:v>
      </x:c>
      <x:c r="G32" s="26" t="str">
        <x:v>تشکر می‌کنم اما سخت باور می‌کنم</x:v>
      </x:c>
      <x:c r="H32" s="26" t="str">
        <x:v>با آرامش می‌پذیرم</x:v>
      </x:c>
      <x:c r="I32" s="26" t="str">
        <x:v>مستقیم</x:v>
      </x:c>
      <x:c r="J32" s="30" t="n">
        <x:v>0</x:v>
      </x:c>
      <x:c r="K32" s="30" t="n">
        <x:v>0</x:v>
      </x:c>
      <x:c r="L32" s="30" t="n">
        <x:v>0</x:v>
      </x:c>
      <x:c r="M32" s="30" t="n">
        <x:v>0.8</x:v>
      </x:c>
      <x:c r="N32" s="30" t="n">
        <x:v>0</x:v>
      </x:c>
      <x:c r="O32" s="30" t="n">
        <x:v>0</x:v>
      </x:c>
      <x:c r="P32" s="30" t="n">
        <x:v>0</x:v>
      </x:c>
      <x:c r="Q32" s="30" t="n">
        <x:v>0</x:v>
      </x:c>
      <x:c r="R32" s="30" t="n">
        <x:v>0.4</x:v>
      </x:c>
      <x:c r="S32" s="30" t="n">
        <x:v>0</x:v>
      </x:c>
      <x:c r="T32" s="30" t="n">
        <x:v>0.9</x:v>
      </x:c>
      <x:c r="U32" s="26" t="str">
        <x:v>دریافت</x:v>
      </x:c>
    </x:row>
    <x:row r="33">
      <x:c r="A33" s="26" t="n">
        <x:v>32</x:v>
      </x:c>
      <x:c r="B33" s="26" t="str">
        <x:v>عاطفه و رابطه</x:v>
      </x:c>
      <x:c r="C33" s="26" t="str">
        <x:v>قلب</x:v>
      </x:c>
      <x:c r="D33" s="26" t="str">
        <x:v>اگر از کسی دلخور شوید، بیشتر شبیه کدام حالت هستید؟</x:v>
      </x:c>
      <x:c r="E33" s="26" t="str">
        <x:v>سال‌ها نگه می‌دارم</x:v>
      </x:c>
      <x:c r="F33" s="26" t="str">
        <x:v>مدت زیادی حمل می‌کنم</x:v>
      </x:c>
      <x:c r="G33" s="26" t="str">
        <x:v>بعد از مدتی بررسی می‌کنم</x:v>
      </x:c>
      <x:c r="H33" s="26" t="str">
        <x:v>سعی می‌کنم سالم بیان و رها کنم</x:v>
      </x:c>
      <x:c r="I33" s="26" t="str">
        <x:v>مستقیم</x:v>
      </x:c>
      <x:c r="J33" s="30" t="n">
        <x:v>0</x:v>
      </x:c>
      <x:c r="K33" s="30" t="n">
        <x:v>0</x:v>
      </x:c>
      <x:c r="L33" s="30" t="n">
        <x:v>0</x:v>
      </x:c>
      <x:c r="M33" s="30" t="n">
        <x:v>1</x:v>
      </x:c>
      <x:c r="N33" s="30" t="n">
        <x:v>0.3</x:v>
      </x:c>
      <x:c r="O33" s="30" t="n">
        <x:v>0</x:v>
      </x:c>
      <x:c r="P33" s="30" t="n">
        <x:v>0</x:v>
      </x:c>
      <x:c r="Q33" s="30" t="n">
        <x:v>0</x:v>
      </x:c>
      <x:c r="R33" s="30" t="n">
        <x:v>0.8</x:v>
      </x:c>
      <x:c r="S33" s="30" t="n">
        <x:v>0</x:v>
      </x:c>
      <x:c r="T33" s="30" t="n">
        <x:v>0</x:v>
      </x:c>
      <x:c r="U33" s="26" t="str">
        <x:v>رهاسازی</x:v>
      </x:c>
    </x:row>
    <x:row r="34">
      <x:c r="A34" s="26" t="n">
        <x:v>33</x:v>
      </x:c>
      <x:c r="B34" s="26" t="str">
        <x:v>عاطفه و رابطه</x:v>
      </x:c>
      <x:c r="C34" s="26" t="str">
        <x:v>قلب</x:v>
      </x:c>
      <x:c r="D34" s="26" t="str">
        <x:v>در رابطه‌ها، کمک گرفتن برای شما چطور است؟</x:v>
      </x:c>
      <x:c r="E34" s="26" t="str">
        <x:v>خیلی سخت است</x:v>
      </x:c>
      <x:c r="F34" s="26" t="str">
        <x:v>معذبم</x:v>
      </x:c>
      <x:c r="G34" s="26" t="str">
        <x:v>اگر لازم باشد قبول می‌کنم</x:v>
      </x:c>
      <x:c r="H34" s="26" t="str">
        <x:v>طبیعی و سالم قبول می‌کنم</x:v>
      </x:c>
      <x:c r="I34" s="26" t="str">
        <x:v>مستقیم</x:v>
      </x:c>
      <x:c r="J34" s="30" t="n">
        <x:v>0</x:v>
      </x:c>
      <x:c r="K34" s="30" t="n">
        <x:v>0</x:v>
      </x:c>
      <x:c r="L34" s="30" t="n">
        <x:v>0</x:v>
      </x:c>
      <x:c r="M34" s="30" t="n">
        <x:v>0.8</x:v>
      </x:c>
      <x:c r="N34" s="30" t="n">
        <x:v>0</x:v>
      </x:c>
      <x:c r="O34" s="30" t="n">
        <x:v>0</x:v>
      </x:c>
      <x:c r="P34" s="30" t="n">
        <x:v>0</x:v>
      </x:c>
      <x:c r="Q34" s="30" t="n">
        <x:v>0</x:v>
      </x:c>
      <x:c r="R34" s="30" t="n">
        <x:v>0.4</x:v>
      </x:c>
      <x:c r="S34" s="30" t="n">
        <x:v>0</x:v>
      </x:c>
      <x:c r="T34" s="30" t="n">
        <x:v>0.8</x:v>
      </x:c>
      <x:c r="U34" s="26" t="str">
        <x:v>دریافت عشق</x:v>
      </x:c>
    </x:row>
    <x:row r="35">
      <x:c r="A35" s="26" t="n">
        <x:v>34</x:v>
      </x:c>
      <x:c r="B35" s="26" t="str">
        <x:v>عاطفه و رابطه</x:v>
      </x:c>
      <x:c r="C35" s="26" t="str">
        <x:v>قلب</x:v>
      </x:c>
      <x:c r="D35" s="26" t="str">
        <x:v>چقدر پیش می‌آید برای دوست‌داشتنی بودن، خودتان را نادیده بگیرید؟</x:v>
      </x:c>
      <x:c r="E35" s="26" t="str">
        <x:v>خیلی زیاد</x:v>
      </x:c>
      <x:c r="F35" s="26" t="str">
        <x:v>نسبتاً زیاد</x:v>
      </x:c>
      <x:c r="G35" s="26" t="str">
        <x:v>گاهی</x:v>
      </x:c>
      <x:c r="H35" s="26" t="str">
        <x:v>خیلی کم</x:v>
      </x:c>
      <x:c r="I35" s="26" t="str">
        <x:v>معکوس</x:v>
      </x:c>
      <x:c r="J35" s="30" t="n">
        <x:v>0</x:v>
      </x:c>
      <x:c r="K35" s="30" t="n">
        <x:v>0</x:v>
      </x:c>
      <x:c r="L35" s="30" t="n">
        <x:v>0.4</x:v>
      </x:c>
      <x:c r="M35" s="30" t="n">
        <x:v>0.8</x:v>
      </x:c>
      <x:c r="N35" s="30" t="n">
        <x:v>0.3</x:v>
      </x:c>
      <x:c r="O35" s="30" t="n">
        <x:v>0</x:v>
      </x:c>
      <x:c r="P35" s="30" t="n">
        <x:v>0</x:v>
      </x:c>
      <x:c r="Q35" s="30" t="n">
        <x:v>0</x:v>
      </x:c>
      <x:c r="R35" s="30" t="n">
        <x:v>1</x:v>
      </x:c>
      <x:c r="S35" s="30" t="n">
        <x:v>0</x:v>
      </x:c>
      <x:c r="T35" s="30" t="n">
        <x:v>0</x:v>
      </x:c>
      <x:c r="U35" s="26" t="str">
        <x:v>وابستگی</x:v>
      </x:c>
    </x:row>
    <x:row r="36">
      <x:c r="A36" s="26" t="n">
        <x:v>35</x:v>
      </x:c>
      <x:c r="B36" s="26" t="str">
        <x:v>عاطفه و رابطه</x:v>
      </x:c>
      <x:c r="C36" s="26" t="str">
        <x:v>قلب</x:v>
      </x:c>
      <x:c r="D36" s="26" t="str">
        <x:v>وقتی کسی ناراحت است، معمولاً چه می‌کنید؟</x:v>
      </x:c>
      <x:c r="E36" s="26" t="str">
        <x:v>کاملاً درگیر و فرسوده می‌شوم</x:v>
      </x:c>
      <x:c r="F36" s="26" t="str">
        <x:v>بیش از حد مسئولیت می‌گیرم</x:v>
      </x:c>
      <x:c r="G36" s="26" t="str">
        <x:v>همدلی می‌کنم و مرز می‌گذارم</x:v>
      </x:c>
      <x:c r="H36" s="26" t="str">
        <x:v>کمک سالم می‌کنم بدون حذف خودم</x:v>
      </x:c>
      <x:c r="I36" s="26" t="str">
        <x:v>مستقیم</x:v>
      </x:c>
      <x:c r="J36" s="30" t="n">
        <x:v>0</x:v>
      </x:c>
      <x:c r="K36" s="30" t="n">
        <x:v>0</x:v>
      </x:c>
      <x:c r="L36" s="30" t="n">
        <x:v>0.3</x:v>
      </x:c>
      <x:c r="M36" s="30" t="n">
        <x:v>0.9</x:v>
      </x:c>
      <x:c r="N36" s="30" t="n">
        <x:v>0</x:v>
      </x:c>
      <x:c r="O36" s="30" t="n">
        <x:v>0</x:v>
      </x:c>
      <x:c r="P36" s="30" t="n">
        <x:v>0</x:v>
      </x:c>
      <x:c r="Q36" s="30" t="n">
        <x:v>0</x:v>
      </x:c>
      <x:c r="R36" s="30" t="n">
        <x:v>0.8</x:v>
      </x:c>
      <x:c r="S36" s="30" t="n">
        <x:v>0.2</x:v>
      </x:c>
      <x:c r="T36" s="30" t="n">
        <x:v>0</x:v>
      </x:c>
      <x:c r="U36" s="26" t="str">
        <x:v>همدلی</x:v>
      </x:c>
    </x:row>
    <x:row r="37">
      <x:c r="A37" s="26" t="n">
        <x:v>36</x:v>
      </x:c>
      <x:c r="B37" s="26" t="str">
        <x:v>عاطفه و رابطه</x:v>
      </x:c>
      <x:c r="C37" s="26" t="str">
        <x:v>قلب</x:v>
      </x:c>
      <x:c r="D37" s="26" t="str">
        <x:v>در ابراز محبت، معمولاً چگونه هستید؟</x:v>
      </x:c>
      <x:c r="E37" s="26" t="str">
        <x:v>خیلی بسته</x:v>
      </x:c>
      <x:c r="F37" s="26" t="str">
        <x:v>کم و با احتیاط</x:v>
      </x:c>
      <x:c r="G37" s="26" t="str">
        <x:v>نسبتاً راحت</x:v>
      </x:c>
      <x:c r="H37" s="26" t="str">
        <x:v>طبیعی و متعادل</x:v>
      </x:c>
      <x:c r="I37" s="26" t="str">
        <x:v>مستقیم</x:v>
      </x:c>
      <x:c r="J37" s="30" t="n">
        <x:v>0</x:v>
      </x:c>
      <x:c r="K37" s="30" t="n">
        <x:v>0</x:v>
      </x:c>
      <x:c r="L37" s="30" t="n">
        <x:v>0</x:v>
      </x:c>
      <x:c r="M37" s="30" t="n">
        <x:v>0.9</x:v>
      </x:c>
      <x:c r="N37" s="30" t="n">
        <x:v>0.3</x:v>
      </x:c>
      <x:c r="O37" s="30" t="n">
        <x:v>0</x:v>
      </x:c>
      <x:c r="P37" s="30" t="n">
        <x:v>0</x:v>
      </x:c>
      <x:c r="Q37" s="30" t="n">
        <x:v>0</x:v>
      </x:c>
      <x:c r="R37" s="30" t="n">
        <x:v>0.7</x:v>
      </x:c>
      <x:c r="S37" s="30" t="n">
        <x:v>0</x:v>
      </x:c>
      <x:c r="T37" s="30" t="n">
        <x:v>0</x:v>
      </x:c>
      <x:c r="U37" s="26" t="str">
        <x:v>محبت</x:v>
      </x:c>
    </x:row>
    <x:row r="38">
      <x:c r="A38" s="26" t="n">
        <x:v>37</x:v>
      </x:c>
      <x:c r="B38" s="26" t="str">
        <x:v>عاطفه و رابطه</x:v>
      </x:c>
      <x:c r="C38" s="26" t="str">
        <x:v>قلب</x:v>
      </x:c>
      <x:c r="D38" s="26" t="str">
        <x:v>وقتی رابطه‌ای تمام می‌شود یا تغییر می‌کند، چقدر می‌توانید از آن عبور کنید؟</x:v>
      </x:c>
      <x:c r="E38" s="26" t="str">
        <x:v>خیلی سخت و طولانی</x:v>
      </x:c>
      <x:c r="F38" s="26" t="str">
        <x:v>سخت اما ممکن</x:v>
      </x:c>
      <x:c r="G38" s="26" t="str">
        <x:v>با زمان و آگاهی</x:v>
      </x:c>
      <x:c r="H38" s="26" t="str">
        <x:v>با پذیرش و یادگیری</x:v>
      </x:c>
      <x:c r="I38" s="26" t="str">
        <x:v>مستقیم</x:v>
      </x:c>
      <x:c r="J38" s="30" t="n">
        <x:v>0</x:v>
      </x:c>
      <x:c r="K38" s="30" t="n">
        <x:v>0</x:v>
      </x:c>
      <x:c r="L38" s="30" t="n">
        <x:v>0</x:v>
      </x:c>
      <x:c r="M38" s="30" t="n">
        <x:v>0.8</x:v>
      </x:c>
      <x:c r="N38" s="30" t="n">
        <x:v>0</x:v>
      </x:c>
      <x:c r="O38" s="30" t="n">
        <x:v>0</x:v>
      </x:c>
      <x:c r="P38" s="30" t="n">
        <x:v>0.2</x:v>
      </x:c>
      <x:c r="Q38" s="30" t="n">
        <x:v>0</x:v>
      </x:c>
      <x:c r="R38" s="30" t="n">
        <x:v>0.7</x:v>
      </x:c>
      <x:c r="S38" s="30" t="n">
        <x:v>0</x:v>
      </x:c>
      <x:c r="T38" s="30" t="n">
        <x:v>0</x:v>
      </x:c>
      <x:c r="U38" s="26" t="str">
        <x:v>عبور</x:v>
      </x:c>
    </x:row>
    <x:row r="39">
      <x:c r="A39" s="26" t="n">
        <x:v>38</x:v>
      </x:c>
      <x:c r="B39" s="26" t="str">
        <x:v>عاطفه و رابطه</x:v>
      </x:c>
      <x:c r="C39" s="26" t="str">
        <x:v>قلب</x:v>
      </x:c>
      <x:c r="D39" s="26" t="str">
        <x:v>چقدر خودتان را شایسته عشق و احترام می‌دانید؟</x:v>
      </x:c>
      <x:c r="E39" s="26" t="str">
        <x:v>خیلی کم</x:v>
      </x:c>
      <x:c r="F39" s="26" t="str">
        <x:v>گاهی شک دارم</x:v>
      </x:c>
      <x:c r="G39" s="26" t="str">
        <x:v>نسبتاً زیاد</x:v>
      </x:c>
      <x:c r="H39" s="26" t="str">
        <x:v>به‌طور عمیق باور دارم</x:v>
      </x:c>
      <x:c r="I39" s="26" t="str">
        <x:v>مستقیم</x:v>
      </x:c>
      <x:c r="J39" s="30" t="n">
        <x:v>0</x:v>
      </x:c>
      <x:c r="K39" s="30" t="n">
        <x:v>0</x:v>
      </x:c>
      <x:c r="L39" s="30" t="n">
        <x:v>0.4</x:v>
      </x:c>
      <x:c r="M39" s="30" t="n">
        <x:v>0.9</x:v>
      </x:c>
      <x:c r="N39" s="30" t="n">
        <x:v>0</x:v>
      </x:c>
      <x:c r="O39" s="30" t="n">
        <x:v>0</x:v>
      </x:c>
      <x:c r="P39" s="30" t="n">
        <x:v>0</x:v>
      </x:c>
      <x:c r="Q39" s="30" t="n">
        <x:v>0</x:v>
      </x:c>
      <x:c r="R39" s="30" t="n">
        <x:v>0.7</x:v>
      </x:c>
      <x:c r="S39" s="30" t="n">
        <x:v>0</x:v>
      </x:c>
      <x:c r="T39" s="30" t="n">
        <x:v>0.6</x:v>
      </x:c>
      <x:c r="U39" s="26" t="str">
        <x:v>شایستگی</x:v>
      </x:c>
    </x:row>
    <x:row r="40">
      <x:c r="A40" s="26" t="n">
        <x:v>39</x:v>
      </x:c>
      <x:c r="B40" s="26" t="str">
        <x:v>عاطفه و رابطه</x:v>
      </x:c>
      <x:c r="C40" s="26" t="str">
        <x:v>قلب</x:v>
      </x:c>
      <x:c r="D40" s="26" t="str">
        <x:v>اگر کسی به شما محبت کند، ذهن شما معمولاً چه می‌گوید؟</x:v>
      </x:c>
      <x:c r="E40" s="26" t="str">
        <x:v>حتماً منظوری دارد</x:v>
      </x:c>
      <x:c r="F40" s="26" t="str">
        <x:v>باور کردنش سخت است</x:v>
      </x:c>
      <x:c r="G40" s="26" t="str">
        <x:v>سعی می‌کنم بپذیرم</x:v>
      </x:c>
      <x:c r="H40" s="26" t="str">
        <x:v>با آرامش دریافت می‌کنم</x:v>
      </x:c>
      <x:c r="I40" s="26" t="str">
        <x:v>مستقیم</x:v>
      </x:c>
      <x:c r="J40" s="30" t="n">
        <x:v>0</x:v>
      </x:c>
      <x:c r="K40" s="30" t="n">
        <x:v>0</x:v>
      </x:c>
      <x:c r="L40" s="30" t="n">
        <x:v>0</x:v>
      </x:c>
      <x:c r="M40" s="30" t="n">
        <x:v>0.9</x:v>
      </x:c>
      <x:c r="N40" s="30" t="n">
        <x:v>0</x:v>
      </x:c>
      <x:c r="O40" s="30" t="n">
        <x:v>0</x:v>
      </x:c>
      <x:c r="P40" s="30" t="n">
        <x:v>0</x:v>
      </x:c>
      <x:c r="Q40" s="30" t="n">
        <x:v>0</x:v>
      </x:c>
      <x:c r="R40" s="30" t="n">
        <x:v>0.6</x:v>
      </x:c>
      <x:c r="S40" s="30" t="n">
        <x:v>0</x:v>
      </x:c>
      <x:c r="T40" s="30" t="n">
        <x:v>1</x:v>
      </x:c>
      <x:c r="U40" s="26" t="str">
        <x:v>اعتماد</x:v>
      </x:c>
    </x:row>
    <x:row r="41">
      <x:c r="A41" s="26" t="n">
        <x:v>40</x:v>
      </x:c>
      <x:c r="B41" s="26" t="str">
        <x:v>عاطفه و رابطه</x:v>
      </x:c>
      <x:c r="C41" s="26" t="str">
        <x:v>قلب</x:v>
      </x:c>
      <x:c r="D41" s="26" t="str">
        <x:v>چقدر می‌توانید بدون توقع پنهان محبت کنید؟</x:v>
      </x:c>
      <x:c r="E41" s="26" t="str">
        <x:v>خیلی سخت</x:v>
      </x:c>
      <x:c r="F41" s="26" t="str">
        <x:v>گاهی با توقع همراه است</x:v>
      </x:c>
      <x:c r="G41" s="26" t="str">
        <x:v>اغلب سالم است</x:v>
      </x:c>
      <x:c r="H41" s="26" t="str">
        <x:v>با آگاهی و مرز سالم</x:v>
      </x:c>
      <x:c r="I41" s="26" t="str">
        <x:v>مستقیم</x:v>
      </x:c>
      <x:c r="J41" s="30" t="n">
        <x:v>0</x:v>
      </x:c>
      <x:c r="K41" s="30" t="n">
        <x:v>0</x:v>
      </x:c>
      <x:c r="L41" s="30" t="n">
        <x:v>0.2</x:v>
      </x:c>
      <x:c r="M41" s="30" t="n">
        <x:v>0.8</x:v>
      </x:c>
      <x:c r="N41" s="30" t="n">
        <x:v>0</x:v>
      </x:c>
      <x:c r="O41" s="30" t="n">
        <x:v>0</x:v>
      </x:c>
      <x:c r="P41" s="30" t="n">
        <x:v>0.2</x:v>
      </x:c>
      <x:c r="Q41" s="30" t="n">
        <x:v>0</x:v>
      </x:c>
      <x:c r="R41" s="30" t="n">
        <x:v>0.6</x:v>
      </x:c>
      <x:c r="S41" s="30" t="n">
        <x:v>0</x:v>
      </x:c>
      <x:c r="T41" s="30" t="n">
        <x:v>0</x:v>
      </x:c>
      <x:c r="U41" s="26" t="str">
        <x:v>محبت سالم</x:v>
      </x:c>
    </x:row>
    <x:row r="42">
      <x:c r="A42" s="26" t="n">
        <x:v>41</x:v>
      </x:c>
      <x:c r="B42" s="26" t="str">
        <x:v>بیان و ارتباط</x:v>
      </x:c>
      <x:c r="C42" s="26" t="str">
        <x:v>گلو</x:v>
      </x:c>
      <x:c r="D42" s="26" t="str">
        <x:v>وقتی لازم است «نه» بگویید، معمولاً چه می‌کنید؟</x:v>
      </x:c>
      <x:c r="E42" s="26" t="str">
        <x:v>می‌گویم بله و بعد ناراحت می‌شوم</x:v>
      </x:c>
      <x:c r="F42" s="26" t="str">
        <x:v>طفره می‌روم</x:v>
      </x:c>
      <x:c r="G42" s="26" t="str">
        <x:v>گاهی نه می‌گویم</x:v>
      </x:c>
      <x:c r="H42" s="26" t="str">
        <x:v>آرام و محترمانه نه می‌گویم</x:v>
      </x:c>
      <x:c r="I42" s="26" t="str">
        <x:v>مستقیم</x:v>
      </x:c>
      <x:c r="J42" s="30" t="n">
        <x:v>0</x:v>
      </x:c>
      <x:c r="K42" s="30" t="n">
        <x:v>0</x:v>
      </x:c>
      <x:c r="L42" s="30" t="n">
        <x:v>0.5</x:v>
      </x:c>
      <x:c r="M42" s="30" t="n">
        <x:v>0.3</x:v>
      </x:c>
      <x:c r="N42" s="30" t="n">
        <x:v>1</x:v>
      </x:c>
      <x:c r="O42" s="30" t="n">
        <x:v>0</x:v>
      </x:c>
      <x:c r="P42" s="30" t="n">
        <x:v>0</x:v>
      </x:c>
      <x:c r="Q42" s="30" t="n">
        <x:v>0</x:v>
      </x:c>
      <x:c r="R42" s="30" t="n">
        <x:v>0.3</x:v>
      </x:c>
      <x:c r="S42" s="30" t="n">
        <x:v>0</x:v>
      </x:c>
      <x:c r="T42" s="30" t="n">
        <x:v>0</x:v>
      </x:c>
      <x:c r="U42" s="26" t="str">
        <x:v>نه گفتن</x:v>
      </x:c>
    </x:row>
    <x:row r="43">
      <x:c r="A43" s="26" t="n">
        <x:v>42</x:v>
      </x:c>
      <x:c r="B43" s="26" t="str">
        <x:v>بیان و ارتباط</x:v>
      </x:c>
      <x:c r="C43" s="26" t="str">
        <x:v>گلو</x:v>
      </x:c>
      <x:c r="D43" s="26" t="str">
        <x:v>اگر سفارش، حق یا خواسته‌تان اشتباه انجام شود، چه می‌کنید؟</x:v>
      </x:c>
      <x:c r="E43" s="26" t="str">
        <x:v>سکوت می‌کنم</x:v>
      </x:c>
      <x:c r="F43" s="26" t="str">
        <x:v>بعداً ناراحت می‌شوم</x:v>
      </x:c>
      <x:c r="G43" s="26" t="str">
        <x:v>با تردید می‌گویم</x:v>
      </x:c>
      <x:c r="H43" s="26" t="str">
        <x:v>روشن و محترمانه مطرح می‌کنم</x:v>
      </x:c>
      <x:c r="I43" s="26" t="str">
        <x:v>مستقیم</x:v>
      </x:c>
      <x:c r="J43" s="30" t="n">
        <x:v>0</x:v>
      </x:c>
      <x:c r="K43" s="30" t="n">
        <x:v>0</x:v>
      </x:c>
      <x:c r="L43" s="30" t="n">
        <x:v>0.4</x:v>
      </x:c>
      <x:c r="M43" s="30" t="n">
        <x:v>0</x:v>
      </x:c>
      <x:c r="N43" s="30" t="n">
        <x:v>0.9</x:v>
      </x:c>
      <x:c r="O43" s="30" t="n">
        <x:v>0</x:v>
      </x:c>
      <x:c r="P43" s="30" t="n">
        <x:v>0</x:v>
      </x:c>
      <x:c r="Q43" s="30" t="n">
        <x:v>0.2</x:v>
      </x:c>
      <x:c r="R43" s="30" t="n">
        <x:v>0</x:v>
      </x:c>
      <x:c r="S43" s="30" t="n">
        <x:v>0</x:v>
      </x:c>
      <x:c r="T43" s="30" t="n">
        <x:v>0</x:v>
      </x:c>
      <x:c r="U43" s="26" t="str">
        <x:v>بیان حق</x:v>
      </x:c>
    </x:row>
    <x:row r="44">
      <x:c r="A44" s="26" t="n">
        <x:v>43</x:v>
      </x:c>
      <x:c r="B44" s="26" t="str">
        <x:v>بیان و ارتباط</x:v>
      </x:c>
      <x:c r="C44" s="26" t="str">
        <x:v>گلو</x:v>
      </x:c>
      <x:c r="D44" s="26" t="str">
        <x:v>چقدر حرف‌های نگفته درون خود نگه می‌دارید؟</x:v>
      </x:c>
      <x:c r="E44" s="26" t="str">
        <x:v>خیلی زیاد</x:v>
      </x:c>
      <x:c r="F44" s="26" t="str">
        <x:v>نسبتاً زیاد</x:v>
      </x:c>
      <x:c r="G44" s="26" t="str">
        <x:v>گاهی</x:v>
      </x:c>
      <x:c r="H44" s="26" t="str">
        <x:v>خیلی کم</x:v>
      </x:c>
      <x:c r="I44" s="26" t="str">
        <x:v>معکوس</x:v>
      </x:c>
      <x:c r="J44" s="30" t="n">
        <x:v>0</x:v>
      </x:c>
      <x:c r="K44" s="30" t="n">
        <x:v>0</x:v>
      </x:c>
      <x:c r="L44" s="30" t="n">
        <x:v>0</x:v>
      </x:c>
      <x:c r="M44" s="30" t="n">
        <x:v>0.4</x:v>
      </x:c>
      <x:c r="N44" s="30" t="n">
        <x:v>1</x:v>
      </x:c>
      <x:c r="O44" s="30" t="n">
        <x:v>0</x:v>
      </x:c>
      <x:c r="P44" s="30" t="n">
        <x:v>0</x:v>
      </x:c>
      <x:c r="Q44" s="30" t="n">
        <x:v>0</x:v>
      </x:c>
      <x:c r="R44" s="30" t="n">
        <x:v>0.5</x:v>
      </x:c>
      <x:c r="S44" s="30" t="n">
        <x:v>0.2</x:v>
      </x:c>
      <x:c r="T44" s="30" t="n">
        <x:v>0</x:v>
      </x:c>
      <x:c r="U44" s="26" t="str">
        <x:v>حرف نگفته</x:v>
      </x:c>
    </x:row>
    <x:row r="45">
      <x:c r="A45" s="26" t="n">
        <x:v>44</x:v>
      </x:c>
      <x:c r="B45" s="26" t="str">
        <x:v>بیان و ارتباط</x:v>
      </x:c>
      <x:c r="C45" s="26" t="str">
        <x:v>گلو</x:v>
      </x:c>
      <x:c r="D45" s="26" t="str">
        <x:v>وقتی با یک نفر اختلاف دارید، سبک بیان شما معمولاً چیست؟</x:v>
      </x:c>
      <x:c r="E45" s="26" t="str">
        <x:v>سکوت یا انفجار</x:v>
      </x:c>
      <x:c r="F45" s="26" t="str">
        <x:v>کنایه و غیرمستقیم</x:v>
      </x:c>
      <x:c r="G45" s="26" t="str">
        <x:v>تلاش برای گفت‌وگو</x:v>
      </x:c>
      <x:c r="H45" s="26" t="str">
        <x:v>شفاف، محترمانه و مسئولانه</x:v>
      </x:c>
      <x:c r="I45" s="26" t="str">
        <x:v>مستقیم</x:v>
      </x:c>
      <x:c r="J45" s="30" t="n">
        <x:v>0</x:v>
      </x:c>
      <x:c r="K45" s="30" t="n">
        <x:v>0</x:v>
      </x:c>
      <x:c r="L45" s="30" t="n">
        <x:v>0.3</x:v>
      </x:c>
      <x:c r="M45" s="30" t="n">
        <x:v>0.4</x:v>
      </x:c>
      <x:c r="N45" s="30" t="n">
        <x:v>0.9</x:v>
      </x:c>
      <x:c r="O45" s="30" t="n">
        <x:v>0</x:v>
      </x:c>
      <x:c r="P45" s="30" t="n">
        <x:v>0</x:v>
      </x:c>
      <x:c r="Q45" s="30" t="n">
        <x:v>0</x:v>
      </x:c>
      <x:c r="R45" s="30" t="n">
        <x:v>0.5</x:v>
      </x:c>
      <x:c r="S45" s="30" t="n">
        <x:v>0</x:v>
      </x:c>
      <x:c r="T45" s="30" t="n">
        <x:v>0</x:v>
      </x:c>
      <x:c r="U45" s="26" t="str">
        <x:v>گفت‌وگو</x:v>
      </x:c>
    </x:row>
    <x:row r="46">
      <x:c r="A46" s="26" t="n">
        <x:v>45</x:v>
      </x:c>
      <x:c r="B46" s="26" t="str">
        <x:v>بیان و ارتباط</x:v>
      </x:c>
      <x:c r="C46" s="26" t="str">
        <x:v>گلو</x:v>
      </x:c>
      <x:c r="D46" s="26" t="str">
        <x:v>وقتی قرار است درباره توانایی یا کار خودتان حرف بزنید، چه حسی دارید؟</x:v>
      </x:c>
      <x:c r="E46" s="26" t="str">
        <x:v>خیلی معذب</x:v>
      </x:c>
      <x:c r="F46" s="26" t="str">
        <x:v>کمی خجالت</x:v>
      </x:c>
      <x:c r="G46" s="26" t="str">
        <x:v>نسبتاً راحت</x:v>
      </x:c>
      <x:c r="H46" s="26" t="str">
        <x:v>واضح و با اعتماد</x:v>
      </x:c>
      <x:c r="I46" s="26" t="str">
        <x:v>مستقیم</x:v>
      </x:c>
      <x:c r="J46" s="30" t="n">
        <x:v>0</x:v>
      </x:c>
      <x:c r="K46" s="30" t="n">
        <x:v>0</x:v>
      </x:c>
      <x:c r="L46" s="30" t="n">
        <x:v>0.7</x:v>
      </x:c>
      <x:c r="M46" s="30" t="n">
        <x:v>0</x:v>
      </x:c>
      <x:c r="N46" s="30" t="n">
        <x:v>0.8</x:v>
      </x:c>
      <x:c r="O46" s="30" t="n">
        <x:v>0</x:v>
      </x:c>
      <x:c r="P46" s="30" t="n">
        <x:v>0</x:v>
      </x:c>
      <x:c r="Q46" s="30" t="n">
        <x:v>0.8</x:v>
      </x:c>
      <x:c r="R46" s="30" t="n">
        <x:v>0</x:v>
      </x:c>
      <x:c r="S46" s="30" t="n">
        <x:v>0</x:v>
      </x:c>
      <x:c r="T46" s="30" t="n">
        <x:v>0</x:v>
      </x:c>
      <x:c r="U46" s="26" t="str">
        <x:v>ارزش‌گذاری</x:v>
      </x:c>
    </x:row>
    <x:row r="47">
      <x:c r="A47" s="26" t="n">
        <x:v>46</x:v>
      </x:c>
      <x:c r="B47" s="26" t="str">
        <x:v>بیان و ارتباط</x:v>
      </x:c>
      <x:c r="C47" s="26" t="str">
        <x:v>گلو</x:v>
      </x:c>
      <x:c r="D47" s="26" t="str">
        <x:v>چقدر به خودتان اجازه می‌دهید حقیقت احساستان را بیان کنید؟</x:v>
      </x:c>
      <x:c r="E47" s="26" t="str">
        <x:v>خیلی کم</x:v>
      </x:c>
      <x:c r="F47" s="26" t="str">
        <x:v>کم</x:v>
      </x:c>
      <x:c r="G47" s="26" t="str">
        <x:v>گاهی</x:v>
      </x:c>
      <x:c r="H47" s="26" t="str">
        <x:v>زیاد و سالم</x:v>
      </x:c>
      <x:c r="I47" s="26" t="str">
        <x:v>مستقیم</x:v>
      </x:c>
      <x:c r="J47" s="30" t="n">
        <x:v>0</x:v>
      </x:c>
      <x:c r="K47" s="30" t="n">
        <x:v>0.3</x:v>
      </x:c>
      <x:c r="L47" s="30" t="n">
        <x:v>0</x:v>
      </x:c>
      <x:c r="M47" s="30" t="n">
        <x:v>0.5</x:v>
      </x:c>
      <x:c r="N47" s="30" t="n">
        <x:v>0.9</x:v>
      </x:c>
      <x:c r="O47" s="30" t="n">
        <x:v>0</x:v>
      </x:c>
      <x:c r="P47" s="30" t="n">
        <x:v>0</x:v>
      </x:c>
      <x:c r="Q47" s="30" t="n">
        <x:v>0</x:v>
      </x:c>
      <x:c r="R47" s="30" t="n">
        <x:v>0.7</x:v>
      </x:c>
      <x:c r="S47" s="30" t="n">
        <x:v>0</x:v>
      </x:c>
      <x:c r="T47" s="30" t="n">
        <x:v>0</x:v>
      </x:c>
      <x:c r="U47" s="26" t="str">
        <x:v>حقیقت</x:v>
      </x:c>
    </x:row>
    <x:row r="48">
      <x:c r="A48" s="26" t="n">
        <x:v>47</x:v>
      </x:c>
      <x:c r="B48" s="26" t="str">
        <x:v>بیان و ارتباط</x:v>
      </x:c>
      <x:c r="C48" s="26" t="str">
        <x:v>گلو</x:v>
      </x:c>
      <x:c r="D48" s="26" t="str">
        <x:v>در جمع‌های خانوادگی یا دوستانه، وقتی نظری دارید چه می‌کنید؟</x:v>
      </x:c>
      <x:c r="E48" s="26" t="str">
        <x:v>معمولاً نمی‌گویم</x:v>
      </x:c>
      <x:c r="F48" s="26" t="str">
        <x:v>فقط اگر امن باشد می‌گویم</x:v>
      </x:c>
      <x:c r="G48" s="26" t="str">
        <x:v>گاهی بیان می‌کنم</x:v>
      </x:c>
      <x:c r="H48" s="26" t="str">
        <x:v>با احترام بیان می‌کنم</x:v>
      </x:c>
      <x:c r="I48" s="26" t="str">
        <x:v>مستقیم</x:v>
      </x:c>
      <x:c r="J48" s="30" t="n">
        <x:v>0.3</x:v>
      </x:c>
      <x:c r="K48" s="30" t="n">
        <x:v>0</x:v>
      </x:c>
      <x:c r="L48" s="30" t="n">
        <x:v>0.3</x:v>
      </x:c>
      <x:c r="M48" s="30" t="n">
        <x:v>0</x:v>
      </x:c>
      <x:c r="N48" s="30" t="n">
        <x:v>0.9</x:v>
      </x:c>
      <x:c r="O48" s="30" t="n">
        <x:v>0</x:v>
      </x:c>
      <x:c r="P48" s="30" t="n">
        <x:v>0</x:v>
      </x:c>
      <x:c r="Q48" s="30" t="n">
        <x:v>0</x:v>
      </x:c>
      <x:c r="R48" s="30" t="n">
        <x:v>0</x:v>
      </x:c>
      <x:c r="S48" s="30" t="n">
        <x:v>0</x:v>
      </x:c>
      <x:c r="T48" s="30" t="n">
        <x:v>0</x:v>
      </x:c>
      <x:c r="U48" s="26" t="str">
        <x:v>جرئت بیان</x:v>
      </x:c>
    </x:row>
    <x:row r="49">
      <x:c r="A49" s="26" t="n">
        <x:v>48</x:v>
      </x:c>
      <x:c r="B49" s="26" t="str">
        <x:v>بیان و ارتباط</x:v>
      </x:c>
      <x:c r="C49" s="26" t="str">
        <x:v>گلو</x:v>
      </x:c>
      <x:c r="D49" s="26" t="str">
        <x:v>وقتی چیزی ناراحتتان می‌کند، چقدر توضیح واضح می‌دهید؟</x:v>
      </x:c>
      <x:c r="E49" s="26" t="str">
        <x:v>تقریباً هیچ</x:v>
      </x:c>
      <x:c r="F49" s="26" t="str">
        <x:v>مبهم و دیر</x:v>
      </x:c>
      <x:c r="G49" s="26" t="str">
        <x:v>تا حدی واضح</x:v>
      </x:c>
      <x:c r="H49" s="26" t="str">
        <x:v>روشن و به موقع</x:v>
      </x:c>
      <x:c r="I49" s="26" t="str">
        <x:v>مستقیم</x:v>
      </x:c>
      <x:c r="J49" s="30" t="n">
        <x:v>0</x:v>
      </x:c>
      <x:c r="K49" s="30" t="n">
        <x:v>0</x:v>
      </x:c>
      <x:c r="L49" s="30" t="n">
        <x:v>0</x:v>
      </x:c>
      <x:c r="M49" s="30" t="n">
        <x:v>0.5</x:v>
      </x:c>
      <x:c r="N49" s="30" t="n">
        <x:v>0.8</x:v>
      </x:c>
      <x:c r="O49" s="30" t="n">
        <x:v>0</x:v>
      </x:c>
      <x:c r="P49" s="30" t="n">
        <x:v>0</x:v>
      </x:c>
      <x:c r="Q49" s="30" t="n">
        <x:v>0</x:v>
      </x:c>
      <x:c r="R49" s="30" t="n">
        <x:v>0.5</x:v>
      </x:c>
      <x:c r="S49" s="30" t="n">
        <x:v>0</x:v>
      </x:c>
      <x:c r="T49" s="30" t="n">
        <x:v>0</x:v>
      </x:c>
      <x:c r="U49" s="26" t="str">
        <x:v>وضوح</x:v>
      </x:c>
    </x:row>
    <x:row r="50">
      <x:c r="A50" s="26" t="n">
        <x:v>49</x:v>
      </x:c>
      <x:c r="B50" s="26" t="str">
        <x:v>بیان و ارتباط</x:v>
      </x:c>
      <x:c r="C50" s="26" t="str">
        <x:v>گلو</x:v>
      </x:c>
      <x:c r="D50" s="26" t="str">
        <x:v>چقدر از قضاوت دیگران درباره حرف‌هایتان می‌ترسید؟</x:v>
      </x:c>
      <x:c r="E50" s="26" t="str">
        <x:v>خیلی زیاد</x:v>
      </x:c>
      <x:c r="F50" s="26" t="str">
        <x:v>نسبتاً زیاد</x:v>
      </x:c>
      <x:c r="G50" s="26" t="str">
        <x:v>گاهی</x:v>
      </x:c>
      <x:c r="H50" s="26" t="str">
        <x:v>خیلی کم</x:v>
      </x:c>
      <x:c r="I50" s="26" t="str">
        <x:v>معکوس</x:v>
      </x:c>
      <x:c r="J50" s="30" t="n">
        <x:v>0.2</x:v>
      </x:c>
      <x:c r="K50" s="30" t="n">
        <x:v>0</x:v>
      </x:c>
      <x:c r="L50" s="30" t="n">
        <x:v>0.4</x:v>
      </x:c>
      <x:c r="M50" s="30" t="n">
        <x:v>0</x:v>
      </x:c>
      <x:c r="N50" s="30" t="n">
        <x:v>0.9</x:v>
      </x:c>
      <x:c r="O50" s="30" t="n">
        <x:v>0</x:v>
      </x:c>
      <x:c r="P50" s="30" t="n">
        <x:v>0</x:v>
      </x:c>
      <x:c r="Q50" s="30" t="n">
        <x:v>0</x:v>
      </x:c>
      <x:c r="R50" s="30" t="n">
        <x:v>0</x:v>
      </x:c>
      <x:c r="S50" s="30" t="n">
        <x:v>0</x:v>
      </x:c>
      <x:c r="T50" s="30" t="n">
        <x:v>0</x:v>
      </x:c>
      <x:c r="U50" s="26" t="str">
        <x:v>ترس از قضاوت</x:v>
      </x:c>
    </x:row>
    <x:row r="51">
      <x:c r="A51" s="26" t="n">
        <x:v>50</x:v>
      </x:c>
      <x:c r="B51" s="26" t="str">
        <x:v>بیان و ارتباط</x:v>
      </x:c>
      <x:c r="C51" s="26" t="str">
        <x:v>گلو</x:v>
      </x:c>
      <x:c r="D51" s="26" t="str">
        <x:v>وقتی باید درخواست کمک یا همکاری کنید، چه می‌کنید؟</x:v>
      </x:c>
      <x:c r="E51" s="26" t="str">
        <x:v>درخواست نمی‌کنم</x:v>
      </x:c>
      <x:c r="F51" s="26" t="str">
        <x:v>خیلی دیر می‌گویم</x:v>
      </x:c>
      <x:c r="G51" s="26" t="str">
        <x:v>اگر لازم باشد می‌گویم</x:v>
      </x:c>
      <x:c r="H51" s="26" t="str">
        <x:v>راحت و محترمانه درخواست می‌کنم</x:v>
      </x:c>
      <x:c r="I51" s="26" t="str">
        <x:v>مستقیم</x:v>
      </x:c>
      <x:c r="J51" s="30" t="n">
        <x:v>0</x:v>
      </x:c>
      <x:c r="K51" s="30" t="n">
        <x:v>0</x:v>
      </x:c>
      <x:c r="L51" s="30" t="n">
        <x:v>0</x:v>
      </x:c>
      <x:c r="M51" s="30" t="n">
        <x:v>0.3</x:v>
      </x:c>
      <x:c r="N51" s="30" t="n">
        <x:v>0.8</x:v>
      </x:c>
      <x:c r="O51" s="30" t="n">
        <x:v>0</x:v>
      </x:c>
      <x:c r="P51" s="30" t="n">
        <x:v>0</x:v>
      </x:c>
      <x:c r="Q51" s="30" t="n">
        <x:v>0</x:v>
      </x:c>
      <x:c r="R51" s="30" t="n">
        <x:v>0</x:v>
      </x:c>
      <x:c r="S51" s="30" t="n">
        <x:v>0</x:v>
      </x:c>
      <x:c r="T51" s="30" t="n">
        <x:v>0.6</x:v>
      </x:c>
      <x:c r="U51" s="26" t="str">
        <x:v>درخواست</x:v>
      </x:c>
    </x:row>
    <x:row r="52">
      <x:c r="A52" s="26" t="n">
        <x:v>51</x:v>
      </x:c>
      <x:c r="B52" s="26" t="str">
        <x:v>بینش و شهود</x:v>
      </x:c>
      <x:c r="C52" s="26" t="str">
        <x:v>چشم سوم</x:v>
      </x:c>
      <x:c r="D52" s="26" t="str">
        <x:v>در تصمیم‌های مهم، چقدر به حس درونی خود توجه می‌کنید؟</x:v>
      </x:c>
      <x:c r="E52" s="26" t="str">
        <x:v>تقریباً هیچ</x:v>
      </x:c>
      <x:c r="F52" s="26" t="str">
        <x:v>کم</x:v>
      </x:c>
      <x:c r="G52" s="26" t="str">
        <x:v>در کنار منطق</x:v>
      </x:c>
      <x:c r="H52" s="26" t="str">
        <x:v>به شکل متعادل و آگاهانه</x:v>
      </x:c>
      <x:c r="I52" s="26" t="str">
        <x:v>مستقیم</x:v>
      </x:c>
      <x:c r="J52" s="30" t="n">
        <x:v>0</x:v>
      </x:c>
      <x:c r="K52" s="30" t="n">
        <x:v>0</x:v>
      </x:c>
      <x:c r="L52" s="30" t="n">
        <x:v>0</x:v>
      </x:c>
      <x:c r="M52" s="30" t="n">
        <x:v>0</x:v>
      </x:c>
      <x:c r="N52" s="30" t="n">
        <x:v>0</x:v>
      </x:c>
      <x:c r="O52" s="30" t="n">
        <x:v>1</x:v>
      </x:c>
      <x:c r="P52" s="30" t="n">
        <x:v>0.2</x:v>
      </x:c>
      <x:c r="Q52" s="30" t="n">
        <x:v>0</x:v>
      </x:c>
      <x:c r="R52" s="30" t="n">
        <x:v>0</x:v>
      </x:c>
      <x:c r="S52" s="30" t="n">
        <x:v>0</x:v>
      </x:c>
      <x:c r="T52" s="30" t="n">
        <x:v>0.4</x:v>
      </x:c>
      <x:c r="U52" s="26" t="str">
        <x:v>شهود</x:v>
      </x:c>
    </x:row>
    <x:row r="53">
      <x:c r="A53" s="26" t="n">
        <x:v>52</x:v>
      </x:c>
      <x:c r="B53" s="26" t="str">
        <x:v>بینش و شهود</x:v>
      </x:c>
      <x:c r="C53" s="26" t="str">
        <x:v>چشم سوم</x:v>
      </x:c>
      <x:c r="D53" s="26" t="str">
        <x:v>وقتی ذهن‌تان شلوغ است، چه می‌کنید؟</x:v>
      </x:c>
      <x:c r="E53" s="26" t="str">
        <x:v>در شلوغی می‌مانم</x:v>
      </x:c>
      <x:c r="F53" s="26" t="str">
        <x:v>حواسم را پرت می‌کنم</x:v>
      </x:c>
      <x:c r="G53" s="26" t="str">
        <x:v>گاهی خلوت می‌کنم</x:v>
      </x:c>
      <x:c r="H53" s="26" t="str">
        <x:v>آگاهانه سکوت و نظم ذهنی می‌سازم</x:v>
      </x:c>
      <x:c r="I53" s="26" t="str">
        <x:v>مستقیم</x:v>
      </x:c>
      <x:c r="J53" s="30" t="n">
        <x:v>0</x:v>
      </x:c>
      <x:c r="K53" s="30" t="n">
        <x:v>0</x:v>
      </x:c>
      <x:c r="L53" s="30" t="n">
        <x:v>0</x:v>
      </x:c>
      <x:c r="M53" s="30" t="n">
        <x:v>0</x:v>
      </x:c>
      <x:c r="N53" s="30" t="n">
        <x:v>0</x:v>
      </x:c>
      <x:c r="O53" s="30" t="n">
        <x:v>0.9</x:v>
      </x:c>
      <x:c r="P53" s="30" t="n">
        <x:v>0.2</x:v>
      </x:c>
      <x:c r="Q53" s="30" t="n">
        <x:v>0</x:v>
      </x:c>
      <x:c r="R53" s="30" t="n">
        <x:v>0</x:v>
      </x:c>
      <x:c r="S53" s="30" t="n">
        <x:v>0.5</x:v>
      </x:c>
      <x:c r="T53" s="30" t="n">
        <x:v>0</x:v>
      </x:c>
      <x:c r="U53" s="26" t="str">
        <x:v>تمرکز</x:v>
      </x:c>
    </x:row>
    <x:row r="54">
      <x:c r="A54" s="26" t="n">
        <x:v>53</x:v>
      </x:c>
      <x:c r="B54" s="26" t="str">
        <x:v>بینش و شهود</x:v>
      </x:c>
      <x:c r="C54" s="26" t="str">
        <x:v>چشم سوم</x:v>
      </x:c>
      <x:c r="D54" s="26" t="str">
        <x:v>چقدر بعد از اتفاقات می‌گویید «از اول حس کرده بودم»؟</x:v>
      </x:c>
      <x:c r="E54" s="26" t="str">
        <x:v>خیلی زیاد</x:v>
      </x:c>
      <x:c r="F54" s="26" t="str">
        <x:v>نسبتاً زیاد</x:v>
      </x:c>
      <x:c r="G54" s="26" t="str">
        <x:v>گاهی</x:v>
      </x:c>
      <x:c r="H54" s="26" t="str">
        <x:v>خیلی کم چون به حس و نشانه‌ها توجه می‌کنم</x:v>
      </x:c>
      <x:c r="I54" s="26" t="str">
        <x:v>معکوس</x:v>
      </x:c>
      <x:c r="J54" s="30" t="n">
        <x:v>0</x:v>
      </x:c>
      <x:c r="K54" s="30" t="n">
        <x:v>0</x:v>
      </x:c>
      <x:c r="L54" s="30" t="n">
        <x:v>0</x:v>
      </x:c>
      <x:c r="M54" s="30" t="n">
        <x:v>0</x:v>
      </x:c>
      <x:c r="N54" s="30" t="n">
        <x:v>0</x:v>
      </x:c>
      <x:c r="O54" s="30" t="n">
        <x:v>0.9</x:v>
      </x:c>
      <x:c r="P54" s="30" t="n">
        <x:v>0</x:v>
      </x:c>
      <x:c r="Q54" s="30" t="n">
        <x:v>0</x:v>
      </x:c>
      <x:c r="R54" s="30" t="n">
        <x:v>0</x:v>
      </x:c>
      <x:c r="S54" s="30" t="n">
        <x:v>0</x:v>
      </x:c>
      <x:c r="T54" s="30" t="n">
        <x:v>0.3</x:v>
      </x:c>
      <x:c r="U54" s="26" t="str">
        <x:v>نادیده گرفتن شهود</x:v>
      </x:c>
    </x:row>
    <x:row r="55">
      <x:c r="A55" s="26" t="n">
        <x:v>54</x:v>
      </x:c>
      <x:c r="B55" s="26" t="str">
        <x:v>بینش و شهود</x:v>
      </x:c>
      <x:c r="C55" s="26" t="str">
        <x:v>چشم سوم</x:v>
      </x:c>
      <x:c r="D55" s="26" t="str">
        <x:v>وقتی اطلاعات زیادی دریافت می‌کنید، معمولاً چه می‌شود؟</x:v>
      </x:c>
      <x:c r="E55" s="26" t="str">
        <x:v>گیج و پراکنده می‌شوم</x:v>
      </x:c>
      <x:c r="F55" s="26" t="str">
        <x:v>زیاد درگیر می‌شوم</x:v>
      </x:c>
      <x:c r="G55" s="26" t="str">
        <x:v>سعی می‌کنم مرتب کنم</x:v>
      </x:c>
      <x:c r="H55" s="26" t="str">
        <x:v>به اصل موضوع می‌رسم</x:v>
      </x:c>
      <x:c r="I55" s="26" t="str">
        <x:v>مستقیم</x:v>
      </x:c>
      <x:c r="J55" s="30" t="n">
        <x:v>0</x:v>
      </x:c>
      <x:c r="K55" s="30" t="n">
        <x:v>0</x:v>
      </x:c>
      <x:c r="L55" s="30" t="n">
        <x:v>0</x:v>
      </x:c>
      <x:c r="M55" s="30" t="n">
        <x:v>0</x:v>
      </x:c>
      <x:c r="N55" s="30" t="n">
        <x:v>0.2</x:v>
      </x:c>
      <x:c r="O55" s="30" t="n">
        <x:v>0.9</x:v>
      </x:c>
      <x:c r="P55" s="30" t="n">
        <x:v>0</x:v>
      </x:c>
      <x:c r="Q55" s="30" t="n">
        <x:v>0</x:v>
      </x:c>
      <x:c r="R55" s="30" t="n">
        <x:v>0</x:v>
      </x:c>
      <x:c r="S55" s="30" t="n">
        <x:v>0.3</x:v>
      </x:c>
      <x:c r="T55" s="30" t="n">
        <x:v>0</x:v>
      </x:c>
      <x:c r="U55" s="26" t="str">
        <x:v>اطلاعات</x:v>
      </x:c>
    </x:row>
    <x:row r="56">
      <x:c r="A56" s="26" t="n">
        <x:v>55</x:v>
      </x:c>
      <x:c r="B56" s="26" t="str">
        <x:v>بینش و شهود</x:v>
      </x:c>
      <x:c r="C56" s="26" t="str">
        <x:v>چشم سوم</x:v>
      </x:c>
      <x:c r="D56" s="26" t="str">
        <x:v>در تشخیص الگوهای تکراری زندگی‌تان چقدر توانمندید؟</x:v>
      </x:c>
      <x:c r="E56" s="26" t="str">
        <x:v>کم</x:v>
      </x:c>
      <x:c r="F56" s="26" t="str">
        <x:v>گاهی بعد از دیر شدن می‌فهمم</x:v>
      </x:c>
      <x:c r="G56" s="26" t="str">
        <x:v>نسبتاً خوب</x:v>
      </x:c>
      <x:c r="H56" s="26" t="str">
        <x:v>زود متوجه الگو می‌شوم</x:v>
      </x:c>
      <x:c r="I56" s="26" t="str">
        <x:v>مستقیم</x:v>
      </x:c>
      <x:c r="J56" s="30" t="n">
        <x:v>0</x:v>
      </x:c>
      <x:c r="K56" s="30" t="n">
        <x:v>0</x:v>
      </x:c>
      <x:c r="L56" s="30" t="n">
        <x:v>0</x:v>
      </x:c>
      <x:c r="M56" s="30" t="n">
        <x:v>0</x:v>
      </x:c>
      <x:c r="N56" s="30" t="n">
        <x:v>0</x:v>
      </x:c>
      <x:c r="O56" s="30" t="n">
        <x:v>1</x:v>
      </x:c>
      <x:c r="P56" s="30" t="n">
        <x:v>0.3</x:v>
      </x:c>
      <x:c r="Q56" s="30" t="n">
        <x:v>0</x:v>
      </x:c>
      <x:c r="R56" s="30" t="n">
        <x:v>0.3</x:v>
      </x:c>
      <x:c r="S56" s="30" t="n">
        <x:v>0</x:v>
      </x:c>
      <x:c r="T56" s="30" t="n">
        <x:v>0</x:v>
      </x:c>
      <x:c r="U56" s="26" t="str">
        <x:v>الگو</x:v>
      </x:c>
    </x:row>
    <x:row r="57">
      <x:c r="A57" s="26" t="n">
        <x:v>56</x:v>
      </x:c>
      <x:c r="B57" s="26" t="str">
        <x:v>بینش و شهود</x:v>
      </x:c>
      <x:c r="C57" s="26" t="str">
        <x:v>چشم سوم</x:v>
      </x:c>
      <x:c r="D57" s="26" t="str">
        <x:v>چقدر قبل از تصمیم، هم منطق و هم احساس خود را می‌سنجید؟</x:v>
      </x:c>
      <x:c r="E57" s="26" t="str">
        <x:v>تقریباً نه</x:v>
      </x:c>
      <x:c r="F57" s="26" t="str">
        <x:v>بیشتر یک‌طرفه تصمیم می‌گیرم</x:v>
      </x:c>
      <x:c r="G57" s="26" t="str">
        <x:v>گاهی هر دو را می‌سنجم</x:v>
      </x:c>
      <x:c r="H57" s="26" t="str">
        <x:v>اغلب متعادل می‌سنجم</x:v>
      </x:c>
      <x:c r="I57" s="26" t="str">
        <x:v>مستقیم</x:v>
      </x:c>
      <x:c r="J57" s="30" t="n">
        <x:v>0</x:v>
      </x:c>
      <x:c r="K57" s="30" t="n">
        <x:v>0.3</x:v>
      </x:c>
      <x:c r="L57" s="30" t="n">
        <x:v>0.3</x:v>
      </x:c>
      <x:c r="M57" s="30" t="n">
        <x:v>0</x:v>
      </x:c>
      <x:c r="N57" s="30" t="n">
        <x:v>0</x:v>
      </x:c>
      <x:c r="O57" s="30" t="n">
        <x:v>0.8</x:v>
      </x:c>
      <x:c r="P57" s="30" t="n">
        <x:v>0</x:v>
      </x:c>
      <x:c r="Q57" s="30" t="n">
        <x:v>0</x:v>
      </x:c>
      <x:c r="R57" s="30" t="n">
        <x:v>0</x:v>
      </x:c>
      <x:c r="S57" s="30" t="n">
        <x:v>0</x:v>
      </x:c>
      <x:c r="T57" s="30" t="n">
        <x:v>0</x:v>
      </x:c>
      <x:c r="U57" s="26" t="str">
        <x:v>تصمیم</x:v>
      </x:c>
    </x:row>
    <x:row r="58">
      <x:c r="A58" s="26" t="n">
        <x:v>57</x:v>
      </x:c>
      <x:c r="B58" s="26" t="str">
        <x:v>بینش و شهود</x:v>
      </x:c>
      <x:c r="C58" s="26" t="str">
        <x:v>چشم سوم</x:v>
      </x:c>
      <x:c r="D58" s="26" t="str">
        <x:v>چقدر به نشانه‌های ظریف بدن و ذهن خود توجه دارید؟</x:v>
      </x:c>
      <x:c r="E58" s="26" t="str">
        <x:v>خیلی کم</x:v>
      </x:c>
      <x:c r="F58" s="26" t="str">
        <x:v>کم</x:v>
      </x:c>
      <x:c r="G58" s="26" t="str">
        <x:v>نسبتاً</x:v>
      </x:c>
      <x:c r="H58" s="26" t="str">
        <x:v>زیاد و آگاهانه</x:v>
      </x:c>
      <x:c r="I58" s="26" t="str">
        <x:v>مستقیم</x:v>
      </x:c>
      <x:c r="J58" s="30" t="n">
        <x:v>0.4</x:v>
      </x:c>
      <x:c r="K58" s="30" t="n">
        <x:v>0</x:v>
      </x:c>
      <x:c r="L58" s="30" t="n">
        <x:v>0</x:v>
      </x:c>
      <x:c r="M58" s="30" t="n">
        <x:v>0</x:v>
      </x:c>
      <x:c r="N58" s="30" t="n">
        <x:v>0</x:v>
      </x:c>
      <x:c r="O58" s="30" t="n">
        <x:v>0.7</x:v>
      </x:c>
      <x:c r="P58" s="30" t="n">
        <x:v>0</x:v>
      </x:c>
      <x:c r="Q58" s="30" t="n">
        <x:v>0</x:v>
      </x:c>
      <x:c r="R58" s="30" t="n">
        <x:v>0</x:v>
      </x:c>
      <x:c r="S58" s="30" t="n">
        <x:v>0.7</x:v>
      </x:c>
      <x:c r="T58" s="30" t="n">
        <x:v>0</x:v>
      </x:c>
      <x:c r="U58" s="26" t="str">
        <x:v>آگاهی بدن</x:v>
      </x:c>
    </x:row>
    <x:row r="59">
      <x:c r="A59" s="26" t="n">
        <x:v>58</x:v>
      </x:c>
      <x:c r="B59" s="26" t="str">
        <x:v>بینش و شهود</x:v>
      </x:c>
      <x:c r="C59" s="26" t="str">
        <x:v>چشم سوم</x:v>
      </x:c>
      <x:c r="D59" s="26" t="str">
        <x:v>وقتی احساس می‌کنید مسیر درست نیست، معمولاً چه می‌کنید؟</x:v>
      </x:c>
      <x:c r="E59" s="26" t="str">
        <x:v>نادیده می‌گیرم</x:v>
      </x:c>
      <x:c r="F59" s="26" t="str">
        <x:v>تا دیر شود صبر می‌کنم</x:v>
      </x:c>
      <x:c r="G59" s="26" t="str">
        <x:v>بررسی می‌کنم</x:v>
      </x:c>
      <x:c r="H59" s="26" t="str">
        <x:v>به موقع توقف و بازنگری می‌کنم</x:v>
      </x:c>
      <x:c r="I59" s="26" t="str">
        <x:v>مستقیم</x:v>
      </x:c>
      <x:c r="J59" s="30" t="n">
        <x:v>0</x:v>
      </x:c>
      <x:c r="K59" s="30" t="n">
        <x:v>0</x:v>
      </x:c>
      <x:c r="L59" s="30" t="n">
        <x:v>0.3</x:v>
      </x:c>
      <x:c r="M59" s="30" t="n">
        <x:v>0</x:v>
      </x:c>
      <x:c r="N59" s="30" t="n">
        <x:v>0</x:v>
      </x:c>
      <x:c r="O59" s="30" t="n">
        <x:v>1</x:v>
      </x:c>
      <x:c r="P59" s="30" t="n">
        <x:v>0.2</x:v>
      </x:c>
      <x:c r="Q59" s="30" t="n">
        <x:v>0</x:v>
      </x:c>
      <x:c r="R59" s="30" t="n">
        <x:v>0</x:v>
      </x:c>
      <x:c r="S59" s="30" t="n">
        <x:v>0</x:v>
      </x:c>
      <x:c r="T59" s="30" t="n">
        <x:v>0</x:v>
      </x:c>
      <x:c r="U59" s="26" t="str">
        <x:v>بازنگری</x:v>
      </x:c>
    </x:row>
    <x:row r="60">
      <x:c r="A60" s="26" t="n">
        <x:v>59</x:v>
      </x:c>
      <x:c r="B60" s="26" t="str">
        <x:v>بینش و شهود</x:v>
      </x:c>
      <x:c r="C60" s="26" t="str">
        <x:v>چشم سوم</x:v>
      </x:c>
      <x:c r="D60" s="26" t="str">
        <x:v>چقدر درگیر فکرهای تکراری و بی‌نتیجه می‌شوید؟</x:v>
      </x:c>
      <x:c r="E60" s="26" t="str">
        <x:v>خیلی زیاد</x:v>
      </x:c>
      <x:c r="F60" s="26" t="str">
        <x:v>نسبتاً زیاد</x:v>
      </x:c>
      <x:c r="G60" s="26" t="str">
        <x:v>گاهی</x:v>
      </x:c>
      <x:c r="H60" s="26" t="str">
        <x:v>خیلی کم</x:v>
      </x:c>
      <x:c r="I60" s="26" t="str">
        <x:v>معکوس</x:v>
      </x:c>
      <x:c r="J60" s="30" t="n">
        <x:v>0.2</x:v>
      </x:c>
      <x:c r="K60" s="30" t="n">
        <x:v>0</x:v>
      </x:c>
      <x:c r="L60" s="30" t="n">
        <x:v>0</x:v>
      </x:c>
      <x:c r="M60" s="30" t="n">
        <x:v>0</x:v>
      </x:c>
      <x:c r="N60" s="30" t="n">
        <x:v>0</x:v>
      </x:c>
      <x:c r="O60" s="30" t="n">
        <x:v>0.8</x:v>
      </x:c>
      <x:c r="P60" s="30" t="n">
        <x:v>0</x:v>
      </x:c>
      <x:c r="Q60" s="30" t="n">
        <x:v>0</x:v>
      </x:c>
      <x:c r="R60" s="30" t="n">
        <x:v>0</x:v>
      </x:c>
      <x:c r="S60" s="30" t="n">
        <x:v>0.5</x:v>
      </x:c>
      <x:c r="T60" s="30" t="n">
        <x:v>0</x:v>
      </x:c>
      <x:c r="U60" s="26" t="str">
        <x:v>فکر تکراری</x:v>
      </x:c>
    </x:row>
    <x:row r="61">
      <x:c r="A61" s="26" t="n">
        <x:v>60</x:v>
      </x:c>
      <x:c r="B61" s="26" t="str">
        <x:v>بینش و شهود</x:v>
      </x:c>
      <x:c r="C61" s="26" t="str">
        <x:v>چشم سوم</x:v>
      </x:c>
      <x:c r="D61" s="26" t="str">
        <x:v>در برنامه‌ریزی آینده، معمولاً چه حالتی دارید؟</x:v>
      </x:c>
      <x:c r="E61" s="26" t="str">
        <x:v>سردرگم و نامشخص</x:v>
      </x:c>
      <x:c r="F61" s="26" t="str">
        <x:v>آرزو دارم اما برنامه کم است</x:v>
      </x:c>
      <x:c r="G61" s="26" t="str">
        <x:v>برنامه نسبی دارم</x:v>
      </x:c>
      <x:c r="H61" s="26" t="str">
        <x:v>چشم‌انداز و قدم‌های روشن دارم</x:v>
      </x:c>
      <x:c r="I61" s="26" t="str">
        <x:v>مستقیم</x:v>
      </x:c>
      <x:c r="J61" s="30" t="n">
        <x:v>0</x:v>
      </x:c>
      <x:c r="K61" s="30" t="n">
        <x:v>0</x:v>
      </x:c>
      <x:c r="L61" s="30" t="n">
        <x:v>0.4</x:v>
      </x:c>
      <x:c r="M61" s="30" t="n">
        <x:v>0</x:v>
      </x:c>
      <x:c r="N61" s="30" t="n">
        <x:v>0</x:v>
      </x:c>
      <x:c r="O61" s="30" t="n">
        <x:v>0.8</x:v>
      </x:c>
      <x:c r="P61" s="30" t="n">
        <x:v>0.3</x:v>
      </x:c>
      <x:c r="Q61" s="30" t="n">
        <x:v>0.3</x:v>
      </x:c>
      <x:c r="R61" s="30" t="n">
        <x:v>0</x:v>
      </x:c>
      <x:c r="S61" s="30" t="n">
        <x:v>0</x:v>
      </x:c>
      <x:c r="T61" s="30" t="n">
        <x:v>0</x:v>
      </x:c>
      <x:c r="U61" s="26" t="str">
        <x:v>چشم‌انداز</x:v>
      </x:c>
    </x:row>
    <x:row r="62">
      <x:c r="A62" s="26" t="n">
        <x:v>61</x:v>
      </x:c>
      <x:c r="B62" s="26" t="str">
        <x:v>معنا و رشد</x:v>
      </x:c>
      <x:c r="C62" s="26" t="str">
        <x:v>تاج</x:v>
      </x:c>
      <x:c r="D62" s="26" t="str">
        <x:v>وقتی به زندگی خود نگاه می‌کنید، چقدر حس معنا دارید؟</x:v>
      </x:c>
      <x:c r="E62" s="26" t="str">
        <x:v>خیلی کم</x:v>
      </x:c>
      <x:c r="F62" s="26" t="str">
        <x:v>گاهی کم‌رنگ</x:v>
      </x:c>
      <x:c r="G62" s="26" t="str">
        <x:v>نسبتاً</x:v>
      </x:c>
      <x:c r="H62" s="26" t="str">
        <x:v>عمیق و روشن</x:v>
      </x:c>
      <x:c r="I62" s="26" t="str">
        <x:v>مستقیم</x:v>
      </x:c>
      <x:c r="J62" s="30" t="n">
        <x:v>0</x:v>
      </x:c>
      <x:c r="K62" s="30" t="n">
        <x:v>0</x:v>
      </x:c>
      <x:c r="L62" s="30" t="n">
        <x:v>0</x:v>
      </x:c>
      <x:c r="M62" s="30" t="n">
        <x:v>0.2</x:v>
      </x:c>
      <x:c r="N62" s="30" t="n">
        <x:v>0</x:v>
      </x:c>
      <x:c r="O62" s="30" t="n">
        <x:v>0</x:v>
      </x:c>
      <x:c r="P62" s="30" t="n">
        <x:v>1</x:v>
      </x:c>
      <x:c r="Q62" s="30" t="n">
        <x:v>0</x:v>
      </x:c>
      <x:c r="R62" s="30" t="n">
        <x:v>0</x:v>
      </x:c>
      <x:c r="S62" s="30" t="n">
        <x:v>0</x:v>
      </x:c>
      <x:c r="T62" s="30" t="n">
        <x:v>0.4</x:v>
      </x:c>
      <x:c r="U62" s="26" t="str">
        <x:v>معنا</x:v>
      </x:c>
    </x:row>
    <x:row r="63">
      <x:c r="A63" s="26" t="n">
        <x:v>62</x:v>
      </x:c>
      <x:c r="B63" s="26" t="str">
        <x:v>معنا و رشد</x:v>
      </x:c>
      <x:c r="C63" s="26" t="str">
        <x:v>تاج</x:v>
      </x:c>
      <x:c r="D63" s="26" t="str">
        <x:v>چقدر انتخاب‌های روزمره‌تان با ارزش‌های واقعی شما هماهنگ است؟</x:v>
      </x:c>
      <x:c r="E63" s="26" t="str">
        <x:v>خیلی کم</x:v>
      </x:c>
      <x:c r="F63" s="26" t="str">
        <x:v>کم</x:v>
      </x:c>
      <x:c r="G63" s="26" t="str">
        <x:v>تا حدی</x:v>
      </x:c>
      <x:c r="H63" s="26" t="str">
        <x:v>زیاد</x:v>
      </x:c>
      <x:c r="I63" s="26" t="str">
        <x:v>مستقیم</x:v>
      </x:c>
      <x:c r="J63" s="30" t="n">
        <x:v>0</x:v>
      </x:c>
      <x:c r="K63" s="30" t="n">
        <x:v>0</x:v>
      </x:c>
      <x:c r="L63" s="30" t="n">
        <x:v>0.3</x:v>
      </x:c>
      <x:c r="M63" s="30" t="n">
        <x:v>0</x:v>
      </x:c>
      <x:c r="N63" s="30" t="n">
        <x:v>0</x:v>
      </x:c>
      <x:c r="O63" s="30" t="n">
        <x:v>0</x:v>
      </x:c>
      <x:c r="P63" s="30" t="n">
        <x:v>0.9</x:v>
      </x:c>
      <x:c r="Q63" s="30" t="n">
        <x:v>0</x:v>
      </x:c>
      <x:c r="R63" s="30" t="n">
        <x:v>0</x:v>
      </x:c>
      <x:c r="S63" s="30" t="n">
        <x:v>0.2</x:v>
      </x:c>
      <x:c r="T63" s="30" t="n">
        <x:v>0</x:v>
      </x:c>
      <x:c r="U63" s="26" t="str">
        <x:v>ارزش‌ها</x:v>
      </x:c>
    </x:row>
    <x:row r="64">
      <x:c r="A64" s="26" t="n">
        <x:v>63</x:v>
      </x:c>
      <x:c r="B64" s="26" t="str">
        <x:v>معنا و رشد</x:v>
      </x:c>
      <x:c r="C64" s="26" t="str">
        <x:v>تاج</x:v>
      </x:c>
      <x:c r="D64" s="26" t="str">
        <x:v>وقتی موفقیتی به دست می‌آورید، معمولاً چه احساسی دارید؟</x:v>
      </x:c>
      <x:c r="E64" s="26" t="str">
        <x:v>زود خالی و بی‌معنا می‌شود</x:v>
      </x:c>
      <x:c r="F64" s="26" t="str">
        <x:v>مدتی خوب است اما پایدار نیست</x:v>
      </x:c>
      <x:c r="G64" s="26" t="str">
        <x:v>تا حدی رضایت می‌دهد</x:v>
      </x:c>
      <x:c r="H64" s="26" t="str">
        <x:v>آن را بخشی از مسیر رشد می‌بینم</x:v>
      </x:c>
      <x:c r="I64" s="26" t="str">
        <x:v>مستقیم</x:v>
      </x:c>
      <x:c r="J64" s="30" t="n">
        <x:v>0</x:v>
      </x:c>
      <x:c r="K64" s="30" t="n">
        <x:v>0</x:v>
      </x:c>
      <x:c r="L64" s="30" t="n">
        <x:v>0</x:v>
      </x:c>
      <x:c r="M64" s="30" t="n">
        <x:v>0.3</x:v>
      </x:c>
      <x:c r="N64" s="30" t="n">
        <x:v>0</x:v>
      </x:c>
      <x:c r="O64" s="30" t="n">
        <x:v>0</x:v>
      </x:c>
      <x:c r="P64" s="30" t="n">
        <x:v>0.8</x:v>
      </x:c>
      <x:c r="Q64" s="30" t="n">
        <x:v>0</x:v>
      </x:c>
      <x:c r="R64" s="30" t="n">
        <x:v>0</x:v>
      </x:c>
      <x:c r="S64" s="30" t="n">
        <x:v>0</x:v>
      </x:c>
      <x:c r="T64" s="30" t="n">
        <x:v>0.3</x:v>
      </x:c>
      <x:c r="U64" s="26" t="str">
        <x:v>رضایت</x:v>
      </x:c>
    </x:row>
    <x:row r="65">
      <x:c r="A65" s="26" t="n">
        <x:v>64</x:v>
      </x:c>
      <x:c r="B65" s="26" t="str">
        <x:v>معنا و رشد</x:v>
      </x:c>
      <x:c r="C65" s="26" t="str">
        <x:v>تاج</x:v>
      </x:c>
      <x:c r="D65" s="26" t="str">
        <x:v>چقدر برای خلوت، دعا، مراقبه، طبیعت یا سکوت وقت دارید؟</x:v>
      </x:c>
      <x:c r="E65" s="26" t="str">
        <x:v>تقریباً هیچ</x:v>
      </x:c>
      <x:c r="F65" s="26" t="str">
        <x:v>خیلی کم</x:v>
      </x:c>
      <x:c r="G65" s="26" t="str">
        <x:v>گاهی</x:v>
      </x:c>
      <x:c r="H65" s="26" t="str">
        <x:v>به‌طور منظم</x:v>
      </x:c>
      <x:c r="I65" s="26" t="str">
        <x:v>مستقیم</x:v>
      </x:c>
      <x:c r="J65" s="30" t="n">
        <x:v>0</x:v>
      </x:c>
      <x:c r="K65" s="30" t="n">
        <x:v>0</x:v>
      </x:c>
      <x:c r="L65" s="30" t="n">
        <x:v>0</x:v>
      </x:c>
      <x:c r="M65" s="30" t="n">
        <x:v>0</x:v>
      </x:c>
      <x:c r="N65" s="30" t="n">
        <x:v>0</x:v>
      </x:c>
      <x:c r="O65" s="30" t="n">
        <x:v>0.4</x:v>
      </x:c>
      <x:c r="P65" s="30" t="n">
        <x:v>0.9</x:v>
      </x:c>
      <x:c r="Q65" s="30" t="n">
        <x:v>0</x:v>
      </x:c>
      <x:c r="R65" s="30" t="n">
        <x:v>0</x:v>
      </x:c>
      <x:c r="S65" s="30" t="n">
        <x:v>0.3</x:v>
      </x:c>
      <x:c r="T65" s="30" t="n">
        <x:v>0.4</x:v>
      </x:c>
      <x:c r="U65" s="26" t="str">
        <x:v>خلوت</x:v>
      </x:c>
    </x:row>
    <x:row r="66">
      <x:c r="A66" s="26" t="n">
        <x:v>65</x:v>
      </x:c>
      <x:c r="B66" s="26" t="str">
        <x:v>معنا و رشد</x:v>
      </x:c>
      <x:c r="C66" s="26" t="str">
        <x:v>تاج</x:v>
      </x:c>
      <x:c r="D66" s="26" t="str">
        <x:v>اگر همه چیز بیرونی خوب باشد اما درونتان خالی باشد، چه می‌کنید؟</x:v>
      </x:c>
      <x:c r="E66" s="26" t="str">
        <x:v>نادیده می‌گیرم</x:v>
      </x:c>
      <x:c r="F66" s="26" t="str">
        <x:v>با سرگرمی پر می‌کنم</x:v>
      </x:c>
      <x:c r="G66" s="26" t="str">
        <x:v>گاهی به ریشه‌اش فکر می‌کنم</x:v>
      </x:c>
      <x:c r="H66" s="26" t="str">
        <x:v>با خودم صادقانه روبه‌رو می‌شوم</x:v>
      </x:c>
      <x:c r="I66" s="26" t="str">
        <x:v>مستقیم</x:v>
      </x:c>
      <x:c r="J66" s="30" t="n">
        <x:v>0</x:v>
      </x:c>
      <x:c r="K66" s="30" t="n">
        <x:v>0</x:v>
      </x:c>
      <x:c r="L66" s="30" t="n">
        <x:v>0</x:v>
      </x:c>
      <x:c r="M66" s="30" t="n">
        <x:v>0.3</x:v>
      </x:c>
      <x:c r="N66" s="30" t="n">
        <x:v>0</x:v>
      </x:c>
      <x:c r="O66" s="30" t="n">
        <x:v>0.4</x:v>
      </x:c>
      <x:c r="P66" s="30" t="n">
        <x:v>1</x:v>
      </x:c>
      <x:c r="Q66" s="30" t="n">
        <x:v>0</x:v>
      </x:c>
      <x:c r="R66" s="30" t="n">
        <x:v>0</x:v>
      </x:c>
      <x:c r="S66" s="30" t="n">
        <x:v>0</x:v>
      </x:c>
      <x:c r="T66" s="30" t="n">
        <x:v>0</x:v>
      </x:c>
      <x:c r="U66" s="26" t="str">
        <x:v>پوچی</x:v>
      </x:c>
    </x:row>
    <x:row r="67">
      <x:c r="A67" s="26" t="n">
        <x:v>66</x:v>
      </x:c>
      <x:c r="B67" s="26" t="str">
        <x:v>معنا و رشد</x:v>
      </x:c>
      <x:c r="C67" s="26" t="str">
        <x:v>تاج</x:v>
      </x:c>
      <x:c r="D67" s="26" t="str">
        <x:v>چقدر احساس می‌کنید مسیر زندگی‌تان فقط برای تأیید دیگران ساخته شده؟</x:v>
      </x:c>
      <x:c r="E67" s="26" t="str">
        <x:v>خیلی زیاد</x:v>
      </x:c>
      <x:c r="F67" s="26" t="str">
        <x:v>نسبتاً زیاد</x:v>
      </x:c>
      <x:c r="G67" s="26" t="str">
        <x:v>گاهی</x:v>
      </x:c>
      <x:c r="H67" s="26" t="str">
        <x:v>خیلی کم</x:v>
      </x:c>
      <x:c r="I67" s="26" t="str">
        <x:v>معکوس</x:v>
      </x:c>
      <x:c r="J67" s="30" t="n">
        <x:v>0</x:v>
      </x:c>
      <x:c r="K67" s="30" t="n">
        <x:v>0</x:v>
      </x:c>
      <x:c r="L67" s="30" t="n">
        <x:v>0.4</x:v>
      </x:c>
      <x:c r="M67" s="30" t="n">
        <x:v>0.2</x:v>
      </x:c>
      <x:c r="N67" s="30" t="n">
        <x:v>0</x:v>
      </x:c>
      <x:c r="O67" s="30" t="n">
        <x:v>0</x:v>
      </x:c>
      <x:c r="P67" s="30" t="n">
        <x:v>0.8</x:v>
      </x:c>
      <x:c r="Q67" s="30" t="n">
        <x:v>0</x:v>
      </x:c>
      <x:c r="R67" s="30" t="n">
        <x:v>0</x:v>
      </x:c>
      <x:c r="S67" s="30" t="n">
        <x:v>0</x:v>
      </x:c>
      <x:c r="T67" s="30" t="n">
        <x:v>0</x:v>
      </x:c>
      <x:c r="U67" s="26" t="str">
        <x:v>تأیید اجتماعی</x:v>
      </x:c>
    </x:row>
    <x:row r="68">
      <x:c r="A68" s="26" t="n">
        <x:v>67</x:v>
      </x:c>
      <x:c r="B68" s="26" t="str">
        <x:v>معنا و رشد</x:v>
      </x:c>
      <x:c r="C68" s="26" t="str">
        <x:v>تاج</x:v>
      </x:c>
      <x:c r="D68" s="26" t="str">
        <x:v>وقتی با مسئله‌ای بزرگ روبه‌رو می‌شوید، چقدر می‌توانید نگاه وسیع‌تری داشته باشید؟</x:v>
      </x:c>
      <x:c r="E68" s="26" t="str">
        <x:v>خیلی کم</x:v>
      </x:c>
      <x:c r="F68" s="26" t="str">
        <x:v>کم</x:v>
      </x:c>
      <x:c r="G68" s="26" t="str">
        <x:v>گاهی</x:v>
      </x:c>
      <x:c r="H68" s="26" t="str">
        <x:v>زیاد</x:v>
      </x:c>
      <x:c r="I68" s="26" t="str">
        <x:v>مستقیم</x:v>
      </x:c>
      <x:c r="J68" s="30" t="n">
        <x:v>0.2</x:v>
      </x:c>
      <x:c r="K68" s="30" t="n">
        <x:v>0</x:v>
      </x:c>
      <x:c r="L68" s="30" t="n">
        <x:v>0</x:v>
      </x:c>
      <x:c r="M68" s="30" t="n">
        <x:v>0</x:v>
      </x:c>
      <x:c r="N68" s="30" t="n">
        <x:v>0</x:v>
      </x:c>
      <x:c r="O68" s="30" t="n">
        <x:v>0.5</x:v>
      </x:c>
      <x:c r="P68" s="30" t="n">
        <x:v>0.8</x:v>
      </x:c>
      <x:c r="Q68" s="30" t="n">
        <x:v>0</x:v>
      </x:c>
      <x:c r="R68" s="30" t="n">
        <x:v>0</x:v>
      </x:c>
      <x:c r="S68" s="30" t="n">
        <x:v>0</x:v>
      </x:c>
      <x:c r="T68" s="30" t="n">
        <x:v>0</x:v>
      </x:c>
      <x:c r="U68" s="26" t="str">
        <x:v>نگاه کلان</x:v>
      </x:c>
    </x:row>
    <x:row r="69">
      <x:c r="A69" s="26" t="n">
        <x:v>68</x:v>
      </x:c>
      <x:c r="B69" s="26" t="str">
        <x:v>معنا و رشد</x:v>
      </x:c>
      <x:c r="C69" s="26" t="str">
        <x:v>تاج</x:v>
      </x:c>
      <x:c r="D69" s="26" t="str">
        <x:v>چقدر احساس می‌کنید دریافت‌های خوب زندگی را باید با سختی زیاد به دست آورید؟</x:v>
      </x:c>
      <x:c r="E69" s="26" t="str">
        <x:v>خیلی زیاد</x:v>
      </x:c>
      <x:c r="F69" s="26" t="str">
        <x:v>نسبتاً زیاد</x:v>
      </x:c>
      <x:c r="G69" s="26" t="str">
        <x:v>گاهی</x:v>
      </x:c>
      <x:c r="H69" s="26" t="str">
        <x:v>خیلی کم</x:v>
      </x:c>
      <x:c r="I69" s="26" t="str">
        <x:v>معکوس</x:v>
      </x:c>
      <x:c r="J69" s="30" t="n">
        <x:v>0</x:v>
      </x:c>
      <x:c r="K69" s="30" t="n">
        <x:v>0</x:v>
      </x:c>
      <x:c r="L69" s="30" t="n">
        <x:v>0</x:v>
      </x:c>
      <x:c r="M69" s="30" t="n">
        <x:v>0.3</x:v>
      </x:c>
      <x:c r="N69" s="30" t="n">
        <x:v>0</x:v>
      </x:c>
      <x:c r="O69" s="30" t="n">
        <x:v>0</x:v>
      </x:c>
      <x:c r="P69" s="30" t="n">
        <x:v>0.4</x:v>
      </x:c>
      <x:c r="Q69" s="30" t="n">
        <x:v>0.4</x:v>
      </x:c>
      <x:c r="R69" s="30" t="n">
        <x:v>0</x:v>
      </x:c>
      <x:c r="S69" s="30" t="n">
        <x:v>0</x:v>
      </x:c>
      <x:c r="T69" s="30" t="n">
        <x:v>1</x:v>
      </x:c>
      <x:c r="U69" s="26" t="str">
        <x:v>دریافت</x:v>
      </x:c>
    </x:row>
    <x:row r="70">
      <x:c r="A70" s="26" t="n">
        <x:v>69</x:v>
      </x:c>
      <x:c r="B70" s="26" t="str">
        <x:v>معنا و رشد</x:v>
      </x:c>
      <x:c r="C70" s="26" t="str">
        <x:v>تاج</x:v>
      </x:c>
      <x:c r="D70" s="26" t="str">
        <x:v>در پایان یک روز معمولی، چقدر حس می‌کنید با خود واقعی‌تان در تماس بوده‌اید؟</x:v>
      </x:c>
      <x:c r="E70" s="26" t="str">
        <x:v>خیلی کم</x:v>
      </x:c>
      <x:c r="F70" s="26" t="str">
        <x:v>کم</x:v>
      </x:c>
      <x:c r="G70" s="26" t="str">
        <x:v>تا حدی</x:v>
      </x:c>
      <x:c r="H70" s="26" t="str">
        <x:v>زیاد</x:v>
      </x:c>
      <x:c r="I70" s="26" t="str">
        <x:v>مستقیم</x:v>
      </x:c>
      <x:c r="J70" s="30" t="n">
        <x:v>0</x:v>
      </x:c>
      <x:c r="K70" s="30" t="n">
        <x:v>0</x:v>
      </x:c>
      <x:c r="L70" s="30" t="n">
        <x:v>0</x:v>
      </x:c>
      <x:c r="M70" s="30" t="n">
        <x:v>0.3</x:v>
      </x:c>
      <x:c r="N70" s="30" t="n">
        <x:v>0</x:v>
      </x:c>
      <x:c r="O70" s="30" t="n">
        <x:v>0.3</x:v>
      </x:c>
      <x:c r="P70" s="30" t="n">
        <x:v>0.8</x:v>
      </x:c>
      <x:c r="Q70" s="30" t="n">
        <x:v>0</x:v>
      </x:c>
      <x:c r="R70" s="30" t="n">
        <x:v>0</x:v>
      </x:c>
      <x:c r="S70" s="30" t="n">
        <x:v>0.2</x:v>
      </x:c>
      <x:c r="T70" s="30" t="n">
        <x:v>0</x:v>
      </x:c>
      <x:c r="U70" s="26" t="str">
        <x:v>خود واقعی</x:v>
      </x:c>
    </x:row>
    <x:row r="71">
      <x:c r="A71" s="26" t="n">
        <x:v>70</x:v>
      </x:c>
      <x:c r="B71" s="26" t="str">
        <x:v>معنا و رشد</x:v>
      </x:c>
      <x:c r="C71" s="26" t="str">
        <x:v>تاج</x:v>
      </x:c>
      <x:c r="D71" s="26" t="str">
        <x:v>چقدر به رشد درونی خود مثل رشد مالی یا کاری اهمیت می‌دهید؟</x:v>
      </x:c>
      <x:c r="E71" s="26" t="str">
        <x:v>خیلی کم</x:v>
      </x:c>
      <x:c r="F71" s="26" t="str">
        <x:v>کم</x:v>
      </x:c>
      <x:c r="G71" s="26" t="str">
        <x:v>نسبتاً</x:v>
      </x:c>
      <x:c r="H71" s="26" t="str">
        <x:v>زیاد و جدی</x:v>
      </x:c>
      <x:c r="I71" s="26" t="str">
        <x:v>مستقیم</x:v>
      </x:c>
      <x:c r="J71" s="30" t="n">
        <x:v>0</x:v>
      </x:c>
      <x:c r="K71" s="30" t="n">
        <x:v>0</x:v>
      </x:c>
      <x:c r="L71" s="30" t="n">
        <x:v>0.2</x:v>
      </x:c>
      <x:c r="M71" s="30" t="n">
        <x:v>0</x:v>
      </x:c>
      <x:c r="N71" s="30" t="n">
        <x:v>0</x:v>
      </x:c>
      <x:c r="O71" s="30" t="n">
        <x:v>0</x:v>
      </x:c>
      <x:c r="P71" s="30" t="n">
        <x:v>1</x:v>
      </x:c>
      <x:c r="Q71" s="30" t="n">
        <x:v>0</x:v>
      </x:c>
      <x:c r="R71" s="30" t="n">
        <x:v>0</x:v>
      </x:c>
      <x:c r="S71" s="30" t="n">
        <x:v>0</x:v>
      </x:c>
      <x:c r="T71" s="30" t="n">
        <x:v>0.3</x:v>
      </x:c>
      <x:c r="U71" s="26" t="str">
        <x:v>رشد</x:v>
      </x:c>
    </x:row>
  </x:sheetData>
  <x:pageMargins left="0.7" right="0.7" top="0.75" bottom="0.75" header="0.3" footer="0.3"/>
  <x:tableParts count="1">
    <x:tablePart xmlns:r="http://schemas.openxmlformats.org/officeDocument/2006/relationships" r:id="R37dcd9cc63e846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4" hidden="0" customWidth="1"/>
    <x:col min="4" max="4" width="42" hidden="0" customWidth="1"/>
    <x:col min="5" max="5" width="14" hidden="0" customWidth="1"/>
    <x:col min="6" max="6" width="18" hidden="0" customWidth="1"/>
    <x:col min="7" max="7" width="72" hidden="0" customWidth="1"/>
  </x:cols>
  <x:sheetData>
    <x:row r="1">
      <x:c r="A1" s="18" t="str">
        <x:v>ID</x:v>
      </x:c>
      <x:c r="B1" s="18" t="str">
        <x:v>دسته</x:v>
      </x:c>
      <x:c r="C1" s="18" t="str">
        <x:v>چاکرای اصلی</x:v>
      </x:c>
      <x:c r="D1" s="18" t="str">
        <x:v>سؤال کوتاه</x:v>
      </x:c>
      <x:c r="E1" s="18" t="str">
        <x:v>پاسخ ۱ تا ۴</x:v>
      </x:c>
      <x:c r="F1" s="18" t="str">
        <x:v>امتیاز محاسبه‌شده</x:v>
      </x:c>
      <x:c r="G1" s="18" t="str">
        <x:v>راهنمای گزینه‌ها</x:v>
      </x:c>
    </x:row>
    <x:row r="2">
      <x:c r="A2" s="26" t="n">
        <x:v>1</x:v>
      </x:c>
      <x:c r="B2" s="26" t="str">
        <x:v>امنیت و ثبات</x:v>
      </x:c>
      <x:c r="C2" s="26" t="str">
        <x:v>ریشه</x:v>
      </x:c>
      <x:c r="D2" s="26" t="str">
        <x:v>وقتی یک هزینه غیرمنتظره پیش می‌آید، معمولاً چه واکنشی دارید؟</x:v>
      </x:c>
      <x:c r="E2" s="26" t="str"/>
      <x:c r="F2" s="26" t="str">
        <x:f>IF(E2="","",IF(Questions!I2="معکوس",5-E2,E2))</x:f>
      </x:c>
      <x:c r="G2" s="26" t="str">
        <x:v>1) سریع مضطرب می‌شوم و ذهنم قفل می‌کند | 2) نگران می‌شوم اما بعد دنبال راه‌حل می‌گردم | 3) کمی مکث می‌کنم و برنامه می‌ریزم | 4) آرام می‌مانم و قدم بعدی را مشخص می‌کنم</x:v>
      </x:c>
    </x:row>
    <x:row r="3">
      <x:c r="A3" s="26" t="n">
        <x:v>2</x:v>
      </x:c>
      <x:c r="B3" s="26" t="str">
        <x:v>امنیت و ثبات</x:v>
      </x:c>
      <x:c r="C3" s="26" t="str">
        <x:v>ریشه</x:v>
      </x:c>
      <x:c r="D3" s="26" t="str">
        <x:v>اگر برنامه روزتان ناگهان به‌هم بریزد، بیشتر شبیه کدام حالت هستید؟</x:v>
      </x:c>
      <x:c r="E3" s="26" t="str"/>
      <x:c r="F3" s="26" t="str">
        <x:f>IF(E3="","",IF(Questions!I3="معکوس",5-E3,E3))</x:f>
      </x:c>
      <x:c r="G3" s="26" t="str">
        <x:v>1) کاملاً به‌هم می‌ریزم | 2) مدتی عصبی می‌شوم | 3) با کمی زمان خودم را جمع می‌کنم | 4) انعطاف دارم و مسیر جدید می‌سازم</x:v>
      </x:c>
    </x:row>
    <x:row r="4">
      <x:c r="A4" s="26" t="n">
        <x:v>3</x:v>
      </x:c>
      <x:c r="B4" s="26" t="str">
        <x:v>امنیت و ثبات</x:v>
      </x:c>
      <x:c r="C4" s="26" t="str">
        <x:v>ریشه</x:v>
      </x:c>
      <x:c r="D4" s="26" t="str">
        <x:v>وقتی آینده مبهم است، ذهن شما معمولاً چه می‌کند؟</x:v>
      </x:c>
      <x:c r="E4" s="26" t="str"/>
      <x:c r="F4" s="26" t="str">
        <x:f>IF(E4="","",IF(Questions!I4="معکوس",5-E4,E4))</x:f>
      </x:c>
      <x:c r="G4" s="26" t="str">
        <x:v>1) بدترین حالت‌ها را می‌سازد | 2) زیاد فکر می‌کند اما متوقف نمی‌شود | 3) چند راه‌حل احتمالی پیدا می‌کند | 4) روی قدم‌های قابل انجام تمرکز می‌کند</x:v>
      </x:c>
    </x:row>
    <x:row r="5">
      <x:c r="A5" s="26" t="n">
        <x:v>4</x:v>
      </x:c>
      <x:c r="B5" s="26" t="str">
        <x:v>امنیت و ثبات</x:v>
      </x:c>
      <x:c r="C5" s="26" t="str">
        <x:v>ریشه</x:v>
      </x:c>
      <x:c r="D5" s="26" t="str">
        <x:v>در هفته‌های شلوغ، چقدر به نظم خواب و غذا توجه می‌کنید؟</x:v>
      </x:c>
      <x:c r="E5" s="26" t="str"/>
      <x:c r="F5" s="26" t="str">
        <x:f>IF(E5="","",IF(Questions!I5="معکوس",5-E5,E5))</x:f>
      </x:c>
      <x:c r="G5" s="26" t="str">
        <x:v>1) تقریباً رها می‌شود | 2) گاهی فراموش می‌کنم | 3) تا حدی مراقبم | 4) برایم اولویت دارد</x:v>
      </x:c>
    </x:row>
    <x:row r="6">
      <x:c r="A6" s="26" t="n">
        <x:v>5</x:v>
      </x:c>
      <x:c r="B6" s="26" t="str">
        <x:v>امنیت و ثبات</x:v>
      </x:c>
      <x:c r="C6" s="26" t="str">
        <x:v>ریشه</x:v>
      </x:c>
      <x:c r="D6" s="26" t="str">
        <x:v>وقتی احساس فشار دارید، چقدر به بدن خود توجه می‌کنید؟</x:v>
      </x:c>
      <x:c r="E6" s="26" t="str"/>
      <x:c r="F6" s="26" t="str">
        <x:f>IF(E6="","",IF(Questions!I6="معکوس",5-E6,E6))</x:f>
      </x:c>
      <x:c r="G6" s="26" t="str">
        <x:v>1) معمولاً نادیده می‌گیرم | 2) وقتی خیلی خسته شوم توجه می‌کنم | 3) گاهی استراحت می‌کنم | 4) زود متوجه بدنم می‌شوم و رسیدگی می‌کنم</x:v>
      </x:c>
    </x:row>
    <x:row r="7">
      <x:c r="A7" s="26" t="n">
        <x:v>6</x:v>
      </x:c>
      <x:c r="B7" s="26" t="str">
        <x:v>امنیت و ثبات</x:v>
      </x:c>
      <x:c r="C7" s="26" t="str">
        <x:v>ریشه</x:v>
      </x:c>
      <x:c r="D7" s="26" t="str">
        <x:v>چقدر پیش می‌آید از ترس آینده، امروزتان را خراب کنید؟</x:v>
      </x:c>
      <x:c r="E7" s="26" t="str"/>
      <x:c r="F7" s="26" t="str">
        <x:f>IF(E7="","",IF(Questions!I7="معکوس",5-E7,E7))</x:f>
      </x:c>
      <x:c r="G7" s="26" t="str">
        <x:v>1) خیلی زیاد | 2) نسبتاً زیاد | 3) گاهی | 4) خیلی کم</x:v>
      </x:c>
    </x:row>
    <x:row r="8">
      <x:c r="A8" s="26" t="n">
        <x:v>7</x:v>
      </x:c>
      <x:c r="B8" s="26" t="str">
        <x:v>امنیت و ثبات</x:v>
      </x:c>
      <x:c r="C8" s="26" t="str">
        <x:v>ریشه</x:v>
      </x:c>
      <x:c r="D8" s="26" t="str">
        <x:v>وقتی در جمع یا خانواده نظری مخالف شما مطرح می‌شود، حس امنیت درونی‌تان چطور است؟</x:v>
      </x:c>
      <x:c r="E8" s="26" t="str"/>
      <x:c r="F8" s="26" t="str">
        <x:f>IF(E8="","",IF(Questions!I8="معکوس",5-E8,E8))</x:f>
      </x:c>
      <x:c r="G8" s="26" t="str">
        <x:v>1) سریع احساس تهدید می‌کنم | 2) دفاعی می‌شوم | 3) سعی می‌کنم آرام بمانم | 4) می‌توانم بدون تهدید شدن گوش بدهم</x:v>
      </x:c>
    </x:row>
    <x:row r="9">
      <x:c r="A9" s="26" t="n">
        <x:v>8</x:v>
      </x:c>
      <x:c r="B9" s="26" t="str">
        <x:v>امنیت و ثبات</x:v>
      </x:c>
      <x:c r="C9" s="26" t="str">
        <x:v>ریشه</x:v>
      </x:c>
      <x:c r="D9" s="26" t="str">
        <x:v>در مدیریت وسایل، زمان و کارهای شخصی معمولاً چه الگویی دارید؟</x:v>
      </x:c>
      <x:c r="E9" s="26" t="str"/>
      <x:c r="F9" s="26" t="str">
        <x:f>IF(E9="","",IF(Questions!I9="معکوس",5-E9,E9))</x:f>
      </x:c>
      <x:c r="G9" s="26" t="str">
        <x:v>1) خیلی بی‌نظم و پراکنده | 2) گاهی منظم، گاهی رها | 3) نسبتاً منظم | 4) نظم ساده و پایدار دارم</x:v>
      </x:c>
    </x:row>
    <x:row r="10">
      <x:c r="A10" s="26" t="n">
        <x:v>9</x:v>
      </x:c>
      <x:c r="B10" s="26" t="str">
        <x:v>امنیت و ثبات</x:v>
      </x:c>
      <x:c r="C10" s="26" t="str">
        <x:v>ریشه</x:v>
      </x:c>
      <x:c r="D10" s="26" t="str">
        <x:v>اگر یک مسیر زندگی یا کاری عوض شود، معمولاً چه احساسی دارید؟</x:v>
      </x:c>
      <x:c r="E10" s="26" t="str"/>
      <x:c r="F10" s="26" t="str">
        <x:f>IF(E10="","",IF(Questions!I10="معکوس",5-E10,E10))</x:f>
      </x:c>
      <x:c r="G10" s="26" t="str">
        <x:v>1) احساس می‌کنم زمین زیر پایم خالی شده | 2) نگران می‌شوم و مقاومت می‌کنم | 3) با ترس اما حرکت می‌کنم | 4) تغییر را بخشی از مسیر می‌دانم</x:v>
      </x:c>
    </x:row>
    <x:row r="11">
      <x:c r="A11" s="26" t="n">
        <x:v>10</x:v>
      </x:c>
      <x:c r="B11" s="26" t="str">
        <x:v>امنیت و ثبات</x:v>
      </x:c>
      <x:c r="C11" s="26" t="str">
        <x:v>ریشه</x:v>
      </x:c>
      <x:c r="D11" s="26" t="str">
        <x:v>چقدر احساس می‌کنید برای روزهای سخت، یک پشتوانه درونی دارید؟</x:v>
      </x:c>
      <x:c r="E11" s="26" t="str"/>
      <x:c r="F11" s="26" t="str">
        <x:f>IF(E11="","",IF(Questions!I11="معکوس",5-E11,E11))</x:f>
      </x:c>
      <x:c r="G11" s="26" t="str">
        <x:v>1) تقریباً ندارم | 2) گاهی دارم | 3) نسبتاً دارم | 4) کاملاً حس می‌کنم از پسش برمی‌آیم</x:v>
      </x:c>
    </x:row>
    <x:row r="12">
      <x:c r="A12" s="26" t="n">
        <x:v>11</x:v>
      </x:c>
      <x:c r="B12" s="26" t="str">
        <x:v>احساسات و لذت</x:v>
      </x:c>
      <x:c r="C12" s="26" t="str">
        <x:v>خاجی</x:v>
      </x:c>
      <x:c r="D12" s="26" t="str">
        <x:v>آخرین باری که فقط برای دل خودتان کاری کردید، چه زمانی بود؟</x:v>
      </x:c>
      <x:c r="E12" s="26" t="str"/>
      <x:c r="F12" s="26" t="str">
        <x:f>IF(E12="","",IF(Questions!I12="معکوس",5-E12,E12))</x:f>
      </x:c>
      <x:c r="G12" s="26" t="str">
        <x:v>1) یادم نمی‌آید | 2) مدت زیادی گذشته | 3) در هفته‌های اخیر | 4) در چند روز اخیر</x:v>
      </x:c>
    </x:row>
    <x:row r="13">
      <x:c r="A13" s="26" t="n">
        <x:v>12</x:v>
      </x:c>
      <x:c r="B13" s="26" t="str">
        <x:v>احساسات و لذت</x:v>
      </x:c>
      <x:c r="C13" s="26" t="str">
        <x:v>خاجی</x:v>
      </x:c>
      <x:c r="D13" s="26" t="str">
        <x:v>وقتی ناراحت می‌شوید، معمولاً با احساس خود چه می‌کنید؟</x:v>
      </x:c>
      <x:c r="E13" s="26" t="str"/>
      <x:c r="F13" s="26" t="str">
        <x:f>IF(E13="","",IF(Questions!I13="معکوس",5-E13,E13))</x:f>
      </x:c>
      <x:c r="G13" s="26" t="str">
        <x:v>1) کاملاً سرکوبش می‌کنم | 2) حواس خودم را پرت می‌کنم | 3) سعی می‌کنم بفهممش | 4) به خودم اجازه تجربه و عبور می‌دهم</x:v>
      </x:c>
    </x:row>
    <x:row r="14">
      <x:c r="A14" s="26" t="n">
        <x:v>13</x:v>
      </x:c>
      <x:c r="B14" s="26" t="str">
        <x:v>احساسات و لذت</x:v>
      </x:c>
      <x:c r="C14" s="26" t="str">
        <x:v>خاجی</x:v>
      </x:c>
      <x:c r="D14" s="26" t="str">
        <x:v>در زندگی روزمره، خلاقیت شما چقدر فرصت بروز دارد؟</x:v>
      </x:c>
      <x:c r="E14" s="26" t="str"/>
      <x:c r="F14" s="26" t="str">
        <x:f>IF(E14="","",IF(Questions!I14="معکوس",5-E14,E14))</x:f>
      </x:c>
      <x:c r="G14" s="26" t="str">
        <x:v>1) تقریباً هیچ | 2) خیلی کم | 3) گاهی | 4) زیاد و طبیعی</x:v>
      </x:c>
    </x:row>
    <x:row r="15">
      <x:c r="A15" s="26" t="n">
        <x:v>14</x:v>
      </x:c>
      <x:c r="B15" s="26" t="str">
        <x:v>احساسات و لذت</x:v>
      </x:c>
      <x:c r="C15" s="26" t="str">
        <x:v>خاجی</x:v>
      </x:c>
      <x:c r="D15" s="26" t="str">
        <x:v>وقتی کسی احساس شما را کوچک می‌کند، چه می‌کنید؟</x:v>
      </x:c>
      <x:c r="E15" s="26" t="str"/>
      <x:c r="F15" s="26" t="str">
        <x:f>IF(E15="","",IF(Questions!I15="معکوس",5-E15,E15))</x:f>
      </x:c>
      <x:c r="G15" s="26" t="str">
        <x:v>1) خودم را مقصر می‌دانم | 2) سکوت می‌کنم و ناراحت می‌مانم | 3) بعداً توضیح می‌دهم | 4) همان لحظه محترمانه بیان می‌کنم</x:v>
      </x:c>
    </x:row>
    <x:row r="16">
      <x:c r="A16" s="26" t="n">
        <x:v>15</x:v>
      </x:c>
      <x:c r="B16" s="26" t="str">
        <x:v>احساسات و لذت</x:v>
      </x:c>
      <x:c r="C16" s="26" t="str">
        <x:v>خاجی</x:v>
      </x:c>
      <x:c r="D16" s="26" t="str">
        <x:v>چقدر به خودتان اجازه شادی و سبک‌بودن می‌دهید؟</x:v>
      </x:c>
      <x:c r="E16" s="26" t="str"/>
      <x:c r="F16" s="26" t="str">
        <x:f>IF(E16="","",IF(Questions!I16="معکوس",5-E16,E16))</x:f>
      </x:c>
      <x:c r="G16" s="26" t="str">
        <x:v>1) خیلی کم | 2) گاهی با عذاب وجدان | 3) گاهی بدون سخت‌گیری | 4) به‌طور طبیعی و سالم</x:v>
      </x:c>
    </x:row>
    <x:row r="17">
      <x:c r="A17" s="26" t="n">
        <x:v>16</x:v>
      </x:c>
      <x:c r="B17" s="26" t="str">
        <x:v>احساسات و لذت</x:v>
      </x:c>
      <x:c r="C17" s="26" t="str">
        <x:v>خاجی</x:v>
      </x:c>
      <x:c r="D17" s="26" t="str">
        <x:v>وقتی زندگی جدی و سنگین می‌شود، شما معمولاً چه می‌کنید؟</x:v>
      </x:c>
      <x:c r="E17" s="26" t="str"/>
      <x:c r="F17" s="26" t="str">
        <x:f>IF(E17="","",IF(Questions!I17="معکوس",5-E17,E17))</x:f>
      </x:c>
      <x:c r="G17" s="26" t="str">
        <x:v>1) کاملاً خشک و بسته می‌شوم | 2) لذت را عقب می‌اندازم | 3) گاهی تعادل ایجاد می‌کنم | 4) هم مسئولیت دارم هم فضا برای لذت</x:v>
      </x:c>
    </x:row>
    <x:row r="18">
      <x:c r="A18" s="26" t="n">
        <x:v>17</x:v>
      </x:c>
      <x:c r="B18" s="26" t="str">
        <x:v>احساسات و لذت</x:v>
      </x:c>
      <x:c r="C18" s="26" t="str">
        <x:v>خاجی</x:v>
      </x:c>
      <x:c r="D18" s="26" t="str">
        <x:v>چقدر پیش می‌آید از نیازهای احساسی خود خجالت بکشید؟</x:v>
      </x:c>
      <x:c r="E18" s="26" t="str"/>
      <x:c r="F18" s="26" t="str">
        <x:f>IF(E18="","",IF(Questions!I18="معکوس",5-E18,E18))</x:f>
      </x:c>
      <x:c r="G18" s="26" t="str">
        <x:v>1) خیلی زیاد | 2) نسبتاً زیاد | 3) گاهی | 4) خیلی کم</x:v>
      </x:c>
    </x:row>
    <x:row r="19">
      <x:c r="A19" s="26" t="n">
        <x:v>18</x:v>
      </x:c>
      <x:c r="B19" s="26" t="str">
        <x:v>احساسات و لذت</x:v>
      </x:c>
      <x:c r="C19" s="26" t="str">
        <x:v>خاجی</x:v>
      </x:c>
      <x:c r="D19" s="26" t="str">
        <x:v>در رابطه با پول، خرید یا خرج برای خودتان چه حسی دارید؟</x:v>
      </x:c>
      <x:c r="E19" s="26" t="str"/>
      <x:c r="F19" s="26" t="str">
        <x:f>IF(E19="","",IF(Questions!I19="معکوس",5-E19,E19))</x:f>
      </x:c>
      <x:c r="G19" s="26" t="str">
        <x:v>1) احساس گناه می‌کنم | 2) زیاد سخت می‌گیرم | 3) سعی می‌کنم متعادل باشم | 4) با آگاهی و آرامش برای خودم خرج می‌کنم</x:v>
      </x:c>
    </x:row>
    <x:row r="20">
      <x:c r="A20" s="26" t="n">
        <x:v>19</x:v>
      </x:c>
      <x:c r="B20" s="26" t="str">
        <x:v>احساسات و لذت</x:v>
      </x:c>
      <x:c r="C20" s="26" t="str">
        <x:v>خاجی</x:v>
      </x:c>
      <x:c r="D20" s="26" t="str">
        <x:v>وقتی ایده تازه‌ای به ذهنتان می‌رسد، معمولاً چه می‌شود؟</x:v>
      </x:c>
      <x:c r="E20" s="26" t="str"/>
      <x:c r="F20" s="26" t="str">
        <x:f>IF(E20="","",IF(Questions!I20="معکوس",5-E20,E20))</x:f>
      </x:c>
      <x:c r="G20" s="26" t="str">
        <x:v>1) نادیده‌اش می‌گیرم | 2) فقط درباره‌اش فکر می‌کنم | 3) گاهی امتحانش می‌کنم | 4) به آن فرصت تجربه می‌دهم</x:v>
      </x:c>
    </x:row>
    <x:row r="21">
      <x:c r="A21" s="26" t="n">
        <x:v>20</x:v>
      </x:c>
      <x:c r="B21" s="26" t="str">
        <x:v>احساسات و لذت</x:v>
      </x:c>
      <x:c r="C21" s="26" t="str">
        <x:v>خاجی</x:v>
      </x:c>
      <x:c r="D21" s="26" t="str">
        <x:v>چقدر می‌توانید بدون کنترل کردن همه چیز، از لحظه لذت ببرید؟</x:v>
      </x:c>
      <x:c r="E21" s="26" t="str"/>
      <x:c r="F21" s="26" t="str">
        <x:f>IF(E21="","",IF(Questions!I21="معکوس",5-E21,E21))</x:f>
      </x:c>
      <x:c r="G21" s="26" t="str">
        <x:v>1) تقریباً نمی‌توانم | 2) سخت است | 3) گاهی می‌توانم | 4) به‌راحتی و سالم</x:v>
      </x:c>
    </x:row>
    <x:row r="22">
      <x:c r="A22" s="26" t="n">
        <x:v>21</x:v>
      </x:c>
      <x:c r="B22" s="26" t="str">
        <x:v>قدرت شخصی و اقدام</x:v>
      </x:c>
      <x:c r="C22" s="26" t="str">
        <x:v>خورشیدی</x:v>
      </x:c>
      <x:c r="D22" s="26" t="str">
        <x:v>وقتی فرصت تازه‌ای پیش می‌آید، معمولاً چه می‌کنید؟</x:v>
      </x:c>
      <x:c r="E22" s="26" t="str"/>
      <x:c r="F22" s="26" t="str">
        <x:f>IF(E22="","",IF(Questions!I22="معکوس",5-E22,E22))</x:f>
      </x:c>
      <x:c r="G22" s="26" t="str">
        <x:v>1) آن‌قدر فکر می‌کنم که فرصت می‌گذرد | 2) زیاد تردید می‌کنم | 3) بعد از بررسی اقدام می‌کنم | 4) با اعتماد و برنامه حرکت می‌کنم</x:v>
      </x:c>
    </x:row>
    <x:row r="23">
      <x:c r="A23" s="26" t="n">
        <x:v>22</x:v>
      </x:c>
      <x:c r="B23" s="26" t="str">
        <x:v>قدرت شخصی و اقدام</x:v>
      </x:c>
      <x:c r="C23" s="26" t="str">
        <x:v>خورشیدی</x:v>
      </x:c>
      <x:c r="D23" s="26" t="str">
        <x:v>اگر قرار باشد کاری را شروع کنید که نتیجه‌اش قطعی نیست، بیشتر شبیه کدام هستید؟</x:v>
      </x:c>
      <x:c r="E23" s="26" t="str"/>
      <x:c r="F23" s="26" t="str">
        <x:f>IF(E23="","",IF(Questions!I23="معکوس",5-E23,E23))</x:f>
      </x:c>
      <x:c r="G23" s="26" t="str">
        <x:v>1) شروع نمی‌کنم | 2) خیلی دیر شروع می‌کنم | 3) با احتیاط شروع می‌کنم | 4) شروع می‌کنم و در مسیر اصلاح می‌کنم</x:v>
      </x:c>
    </x:row>
    <x:row r="24">
      <x:c r="A24" s="26" t="n">
        <x:v>23</x:v>
      </x:c>
      <x:c r="B24" s="26" t="str">
        <x:v>قدرت شخصی و اقدام</x:v>
      </x:c>
      <x:c r="C24" s="26" t="str">
        <x:v>خورشیدی</x:v>
      </x:c>
      <x:c r="D24" s="26" t="str">
        <x:v>چقدر تصمیم‌هایتان را به تأیید دیگران وابسته می‌کنید؟</x:v>
      </x:c>
      <x:c r="E24" s="26" t="str"/>
      <x:c r="F24" s="26" t="str">
        <x:f>IF(E24="","",IF(Questions!I24="معکوس",5-E24,E24))</x:f>
      </x:c>
      <x:c r="G24" s="26" t="str">
        <x:v>1) خیلی زیاد | 2) نسبتاً زیاد | 3) گاهی | 4) خیلی کم</x:v>
      </x:c>
    </x:row>
    <x:row r="25">
      <x:c r="A25" s="26" t="n">
        <x:v>24</x:v>
      </x:c>
      <x:c r="B25" s="26" t="str">
        <x:v>قدرت شخصی و اقدام</x:v>
      </x:c>
      <x:c r="C25" s="26" t="str">
        <x:v>خورشیدی</x:v>
      </x:c>
      <x:c r="D25" s="26" t="str">
        <x:v>وقتی اشتباه می‌کنید، واکنش درونی شما چیست؟</x:v>
      </x:c>
      <x:c r="E25" s="26" t="str"/>
      <x:c r="F25" s="26" t="str">
        <x:f>IF(E25="","",IF(Questions!I25="معکوس",5-E25,E25))</x:f>
      </x:c>
      <x:c r="G25" s="26" t="str">
        <x:v>1) خودم را شدید سرزنش می‌کنم | 2) مدتی درگیرش می‌شوم | 3) سعی می‌کنم درس بگیرم | 4) مسئولیت می‌پذیرم و ادامه می‌دهم</x:v>
      </x:c>
    </x:row>
    <x:row r="26">
      <x:c r="A26" s="26" t="n">
        <x:v>25</x:v>
      </x:c>
      <x:c r="B26" s="26" t="str">
        <x:v>قدرت شخصی و اقدام</x:v>
      </x:c>
      <x:c r="C26" s="26" t="str">
        <x:v>خورشیدی</x:v>
      </x:c>
      <x:c r="D26" s="26" t="str">
        <x:v>کارهای نیمه‌تمام در زندگی شما چقدر زیادند؟</x:v>
      </x:c>
      <x:c r="E26" s="26" t="str"/>
      <x:c r="F26" s="26" t="str">
        <x:f>IF(E26="","",IF(Questions!I26="معکوس",5-E26,E26))</x:f>
      </x:c>
      <x:c r="G26" s="26" t="str">
        <x:v>1) خیلی زیاد | 2) زیاد | 3) چند مورد | 4) کم و قابل مدیریت</x:v>
      </x:c>
    </x:row>
    <x:row r="27">
      <x:c r="A27" s="26" t="n">
        <x:v>26</x:v>
      </x:c>
      <x:c r="B27" s="26" t="str">
        <x:v>قدرت شخصی و اقدام</x:v>
      </x:c>
      <x:c r="C27" s="26" t="str">
        <x:v>خورشیدی</x:v>
      </x:c>
      <x:c r="D27" s="26" t="str">
        <x:v>وقتی لازم است حق خودتان را بگیرید، معمولاً چه می‌کنید؟</x:v>
      </x:c>
      <x:c r="E27" s="26" t="str"/>
      <x:c r="F27" s="26" t="str">
        <x:f>IF(E27="","",IF(Questions!I27="معکوس",5-E27,E27))</x:f>
      </x:c>
      <x:c r="G27" s="26" t="str">
        <x:v>1) عقب می‌کشم | 2) با ناراحتی سکوت می‌کنم | 3) گاهی بیان می‌کنم | 4) آرام و محکم بیان می‌کنم</x:v>
      </x:c>
    </x:row>
    <x:row r="28">
      <x:c r="A28" s="26" t="n">
        <x:v>27</x:v>
      </x:c>
      <x:c r="B28" s="26" t="str">
        <x:v>قدرت شخصی و اقدام</x:v>
      </x:c>
      <x:c r="C28" s="26" t="str">
        <x:v>خورشیدی</x:v>
      </x:c>
      <x:c r="D28" s="26" t="str">
        <x:v>چقدر در برابر مقایسه با دیگران آسیب‌پذیر هستید؟</x:v>
      </x:c>
      <x:c r="E28" s="26" t="str"/>
      <x:c r="F28" s="26" t="str">
        <x:f>IF(E28="","",IF(Questions!I28="معکوس",5-E28,E28))</x:f>
      </x:c>
      <x:c r="G28" s="26" t="str">
        <x:v>1) خیلی زیاد | 2) نسبتاً زیاد | 3) گاهی | 4) خیلی کم</x:v>
      </x:c>
    </x:row>
    <x:row r="29">
      <x:c r="A29" s="26" t="n">
        <x:v>28</x:v>
      </x:c>
      <x:c r="B29" s="26" t="str">
        <x:v>قدرت شخصی و اقدام</x:v>
      </x:c>
      <x:c r="C29" s="26" t="str">
        <x:v>خورشیدی</x:v>
      </x:c>
      <x:c r="D29" s="26" t="str">
        <x:v>وقتی یک هدف برای خودتان می‌گذارید، معمولاً چه می‌شود؟</x:v>
      </x:c>
      <x:c r="E29" s="26" t="str"/>
      <x:c r="F29" s="26" t="str">
        <x:f>IF(E29="","",IF(Questions!I29="معکوس",5-E29,E29))</x:f>
      </x:c>
      <x:c r="G29" s="26" t="str">
        <x:v>1) زود رها می‌کنم | 2) شروع می‌کنم ولی ادامه سخت است | 3) تا حد خوبی ادامه می‌دهم | 4) با نظم پیگیری می‌کنم</x:v>
      </x:c>
    </x:row>
    <x:row r="30">
      <x:c r="A30" s="26" t="n">
        <x:v>29</x:v>
      </x:c>
      <x:c r="B30" s="26" t="str">
        <x:v>قدرت شخصی و اقدام</x:v>
      </x:c>
      <x:c r="C30" s="26" t="str">
        <x:v>خورشیدی</x:v>
      </x:c>
      <x:c r="D30" s="26" t="str">
        <x:v>در مذاکره، قیمت‌گذاری یا درخواست کردن، چقدر راحت هستید؟</x:v>
      </x:c>
      <x:c r="E30" s="26" t="str"/>
      <x:c r="F30" s="26" t="str">
        <x:f>IF(E30="","",IF(Questions!I30="معکوس",5-E30,E30))</x:f>
      </x:c>
      <x:c r="G30" s="26" t="str">
        <x:v>1) خیلی سخت و معذب | 2) تا حدی سخت | 3) نسبتاً راحت | 4) روشن و با احترام درخواست می‌کنم</x:v>
      </x:c>
    </x:row>
    <x:row r="31">
      <x:c r="A31" s="26" t="n">
        <x:v>30</x:v>
      </x:c>
      <x:c r="B31" s="26" t="str">
        <x:v>قدرت شخصی و اقدام</x:v>
      </x:c>
      <x:c r="C31" s="26" t="str">
        <x:v>خورشیدی</x:v>
      </x:c>
      <x:c r="D31" s="26" t="str">
        <x:v>وقتی دیگران با شما مخالفت می‌کنند، قدرت تصمیم شما چه می‌شود؟</x:v>
      </x:c>
      <x:c r="E31" s="26" t="str"/>
      <x:c r="F31" s="26" t="str">
        <x:f>IF(E31="","",IF(Questions!I31="معکوس",5-E31,E31))</x:f>
      </x:c>
      <x:c r="G31" s="26" t="str">
        <x:v>1) کاملاً می‌ریزد | 2) خیلی کم می‌شود | 3) کمی تحت تأثیر قرار می‌گیرم | 4) به نظرها گوش می‌دهم اما تصمیمم را می‌سازم</x:v>
      </x:c>
    </x:row>
    <x:row r="32">
      <x:c r="A32" s="26" t="n">
        <x:v>31</x:v>
      </x:c>
      <x:c r="B32" s="26" t="str">
        <x:v>عاطفه و رابطه</x:v>
      </x:c>
      <x:c r="C32" s="26" t="str">
        <x:v>قلب</x:v>
      </x:c>
      <x:c r="D32" s="26" t="str">
        <x:v>وقتی کسی از شما تعریف می‌کند، معمولاً چه واکنشی دارید؟</x:v>
      </x:c>
      <x:c r="E32" s="26" t="str"/>
      <x:c r="F32" s="26" t="str">
        <x:f>IF(E32="","",IF(Questions!I32="معکوس",5-E32,E32))</x:f>
      </x:c>
      <x:c r="G32" s="26" t="str">
        <x:v>1) سریع رد می‌کنم | 2) معذب می‌شوم | 3) تشکر می‌کنم اما سخت باور می‌کنم | 4) با آرامش می‌پذیرم</x:v>
      </x:c>
    </x:row>
    <x:row r="33">
      <x:c r="A33" s="26" t="n">
        <x:v>32</x:v>
      </x:c>
      <x:c r="B33" s="26" t="str">
        <x:v>عاطفه و رابطه</x:v>
      </x:c>
      <x:c r="C33" s="26" t="str">
        <x:v>قلب</x:v>
      </x:c>
      <x:c r="D33" s="26" t="str">
        <x:v>اگر از کسی دلخور شوید، بیشتر شبیه کدام حالت هستید؟</x:v>
      </x:c>
      <x:c r="E33" s="26" t="str"/>
      <x:c r="F33" s="26" t="str">
        <x:f>IF(E33="","",IF(Questions!I33="معکوس",5-E33,E33))</x:f>
      </x:c>
      <x:c r="G33" s="26" t="str">
        <x:v>1) سال‌ها نگه می‌دارم | 2) مدت زیادی حمل می‌کنم | 3) بعد از مدتی بررسی می‌کنم | 4) سعی می‌کنم سالم بیان و رها کنم</x:v>
      </x:c>
    </x:row>
    <x:row r="34">
      <x:c r="A34" s="26" t="n">
        <x:v>33</x:v>
      </x:c>
      <x:c r="B34" s="26" t="str">
        <x:v>عاطفه و رابطه</x:v>
      </x:c>
      <x:c r="C34" s="26" t="str">
        <x:v>قلب</x:v>
      </x:c>
      <x:c r="D34" s="26" t="str">
        <x:v>در رابطه‌ها، کمک گرفتن برای شما چطور است؟</x:v>
      </x:c>
      <x:c r="E34" s="26" t="str"/>
      <x:c r="F34" s="26" t="str">
        <x:f>IF(E34="","",IF(Questions!I34="معکوس",5-E34,E34))</x:f>
      </x:c>
      <x:c r="G34" s="26" t="str">
        <x:v>1) خیلی سخت است | 2) معذبم | 3) اگر لازم باشد قبول می‌کنم | 4) طبیعی و سالم قبول می‌کنم</x:v>
      </x:c>
    </x:row>
    <x:row r="35">
      <x:c r="A35" s="26" t="n">
        <x:v>34</x:v>
      </x:c>
      <x:c r="B35" s="26" t="str">
        <x:v>عاطفه و رابطه</x:v>
      </x:c>
      <x:c r="C35" s="26" t="str">
        <x:v>قلب</x:v>
      </x:c>
      <x:c r="D35" s="26" t="str">
        <x:v>چقدر پیش می‌آید برای دوست‌داشتنی بودن، خودتان را نادیده بگیرید؟</x:v>
      </x:c>
      <x:c r="E35" s="26" t="str"/>
      <x:c r="F35" s="26" t="str">
        <x:f>IF(E35="","",IF(Questions!I35="معکوس",5-E35,E35))</x:f>
      </x:c>
      <x:c r="G35" s="26" t="str">
        <x:v>1) خیلی زیاد | 2) نسبتاً زیاد | 3) گاهی | 4) خیلی کم</x:v>
      </x:c>
    </x:row>
    <x:row r="36">
      <x:c r="A36" s="26" t="n">
        <x:v>35</x:v>
      </x:c>
      <x:c r="B36" s="26" t="str">
        <x:v>عاطفه و رابطه</x:v>
      </x:c>
      <x:c r="C36" s="26" t="str">
        <x:v>قلب</x:v>
      </x:c>
      <x:c r="D36" s="26" t="str">
        <x:v>وقتی کسی ناراحت است، معمولاً چه می‌کنید؟</x:v>
      </x:c>
      <x:c r="E36" s="26" t="str"/>
      <x:c r="F36" s="26" t="str">
        <x:f>IF(E36="","",IF(Questions!I36="معکوس",5-E36,E36))</x:f>
      </x:c>
      <x:c r="G36" s="26" t="str">
        <x:v>1) کاملاً درگیر و فرسوده می‌شوم | 2) بیش از حد مسئولیت می‌گیرم | 3) همدلی می‌کنم و مرز می‌گذارم | 4) کمک سالم می‌کنم بدون حذف خودم</x:v>
      </x:c>
    </x:row>
    <x:row r="37">
      <x:c r="A37" s="26" t="n">
        <x:v>36</x:v>
      </x:c>
      <x:c r="B37" s="26" t="str">
        <x:v>عاطفه و رابطه</x:v>
      </x:c>
      <x:c r="C37" s="26" t="str">
        <x:v>قلب</x:v>
      </x:c>
      <x:c r="D37" s="26" t="str">
        <x:v>در ابراز محبت، معمولاً چگونه هستید؟</x:v>
      </x:c>
      <x:c r="E37" s="26" t="str"/>
      <x:c r="F37" s="26" t="str">
        <x:f>IF(E37="","",IF(Questions!I37="معکوس",5-E37,E37))</x:f>
      </x:c>
      <x:c r="G37" s="26" t="str">
        <x:v>1) خیلی بسته | 2) کم و با احتیاط | 3) نسبتاً راحت | 4) طبیعی و متعادل</x:v>
      </x:c>
    </x:row>
    <x:row r="38">
      <x:c r="A38" s="26" t="n">
        <x:v>37</x:v>
      </x:c>
      <x:c r="B38" s="26" t="str">
        <x:v>عاطفه و رابطه</x:v>
      </x:c>
      <x:c r="C38" s="26" t="str">
        <x:v>قلب</x:v>
      </x:c>
      <x:c r="D38" s="26" t="str">
        <x:v>وقتی رابطه‌ای تمام می‌شود یا تغییر می‌کند، چقدر می‌توانید از آن عبور کنید؟</x:v>
      </x:c>
      <x:c r="E38" s="26" t="str"/>
      <x:c r="F38" s="26" t="str">
        <x:f>IF(E38="","",IF(Questions!I38="معکوس",5-E38,E38))</x:f>
      </x:c>
      <x:c r="G38" s="26" t="str">
        <x:v>1) خیلی سخت و طولانی | 2) سخت اما ممکن | 3) با زمان و آگاهی | 4) با پذیرش و یادگیری</x:v>
      </x:c>
    </x:row>
    <x:row r="39">
      <x:c r="A39" s="26" t="n">
        <x:v>38</x:v>
      </x:c>
      <x:c r="B39" s="26" t="str">
        <x:v>عاطفه و رابطه</x:v>
      </x:c>
      <x:c r="C39" s="26" t="str">
        <x:v>قلب</x:v>
      </x:c>
      <x:c r="D39" s="26" t="str">
        <x:v>چقدر خودتان را شایسته عشق و احترام می‌دانید؟</x:v>
      </x:c>
      <x:c r="E39" s="26" t="str"/>
      <x:c r="F39" s="26" t="str">
        <x:f>IF(E39="","",IF(Questions!I39="معکوس",5-E39,E39))</x:f>
      </x:c>
      <x:c r="G39" s="26" t="str">
        <x:v>1) خیلی کم | 2) گاهی شک دارم | 3) نسبتاً زیاد | 4) به‌طور عمیق باور دارم</x:v>
      </x:c>
    </x:row>
    <x:row r="40">
      <x:c r="A40" s="26" t="n">
        <x:v>39</x:v>
      </x:c>
      <x:c r="B40" s="26" t="str">
        <x:v>عاطفه و رابطه</x:v>
      </x:c>
      <x:c r="C40" s="26" t="str">
        <x:v>قلب</x:v>
      </x:c>
      <x:c r="D40" s="26" t="str">
        <x:v>اگر کسی به شما محبت کند، ذهن شما معمولاً چه می‌گوید؟</x:v>
      </x:c>
      <x:c r="E40" s="26" t="str"/>
      <x:c r="F40" s="26" t="str">
        <x:f>IF(E40="","",IF(Questions!I40="معکوس",5-E40,E40))</x:f>
      </x:c>
      <x:c r="G40" s="26" t="str">
        <x:v>1) حتماً منظوری دارد | 2) باور کردنش سخت است | 3) سعی می‌کنم بپذیرم | 4) با آرامش دریافت می‌کنم</x:v>
      </x:c>
    </x:row>
    <x:row r="41">
      <x:c r="A41" s="26" t="n">
        <x:v>40</x:v>
      </x:c>
      <x:c r="B41" s="26" t="str">
        <x:v>عاطفه و رابطه</x:v>
      </x:c>
      <x:c r="C41" s="26" t="str">
        <x:v>قلب</x:v>
      </x:c>
      <x:c r="D41" s="26" t="str">
        <x:v>چقدر می‌توانید بدون توقع پنهان محبت کنید؟</x:v>
      </x:c>
      <x:c r="E41" s="26" t="str"/>
      <x:c r="F41" s="26" t="str">
        <x:f>IF(E41="","",IF(Questions!I41="معکوس",5-E41,E41))</x:f>
      </x:c>
      <x:c r="G41" s="26" t="str">
        <x:v>1) خیلی سخت | 2) گاهی با توقع همراه است | 3) اغلب سالم است | 4) با آگاهی و مرز سالم</x:v>
      </x:c>
    </x:row>
    <x:row r="42">
      <x:c r="A42" s="26" t="n">
        <x:v>41</x:v>
      </x:c>
      <x:c r="B42" s="26" t="str">
        <x:v>بیان و ارتباط</x:v>
      </x:c>
      <x:c r="C42" s="26" t="str">
        <x:v>گلو</x:v>
      </x:c>
      <x:c r="D42" s="26" t="str">
        <x:v>وقتی لازم است «نه» بگویید، معمولاً چه می‌کنید؟</x:v>
      </x:c>
      <x:c r="E42" s="26" t="str"/>
      <x:c r="F42" s="26" t="str">
        <x:f>IF(E42="","",IF(Questions!I42="معکوس",5-E42,E42))</x:f>
      </x:c>
      <x:c r="G42" s="26" t="str">
        <x:v>1) می‌گویم بله و بعد ناراحت می‌شوم | 2) طفره می‌روم | 3) گاهی نه می‌گویم | 4) آرام و محترمانه نه می‌گویم</x:v>
      </x:c>
    </x:row>
    <x:row r="43">
      <x:c r="A43" s="26" t="n">
        <x:v>42</x:v>
      </x:c>
      <x:c r="B43" s="26" t="str">
        <x:v>بیان و ارتباط</x:v>
      </x:c>
      <x:c r="C43" s="26" t="str">
        <x:v>گلو</x:v>
      </x:c>
      <x:c r="D43" s="26" t="str">
        <x:v>اگر سفارش، حق یا خواسته‌تان اشتباه انجام شود، چه می‌کنید؟</x:v>
      </x:c>
      <x:c r="E43" s="26" t="str"/>
      <x:c r="F43" s="26" t="str">
        <x:f>IF(E43="","",IF(Questions!I43="معکوس",5-E43,E43))</x:f>
      </x:c>
      <x:c r="G43" s="26" t="str">
        <x:v>1) سکوت می‌کنم | 2) بعداً ناراحت می‌شوم | 3) با تردید می‌گویم | 4) روشن و محترمانه مطرح می‌کنم</x:v>
      </x:c>
    </x:row>
    <x:row r="44">
      <x:c r="A44" s="26" t="n">
        <x:v>43</x:v>
      </x:c>
      <x:c r="B44" s="26" t="str">
        <x:v>بیان و ارتباط</x:v>
      </x:c>
      <x:c r="C44" s="26" t="str">
        <x:v>گلو</x:v>
      </x:c>
      <x:c r="D44" s="26" t="str">
        <x:v>چقدر حرف‌های نگفته درون خود نگه می‌دارید؟</x:v>
      </x:c>
      <x:c r="E44" s="26" t="str"/>
      <x:c r="F44" s="26" t="str">
        <x:f>IF(E44="","",IF(Questions!I44="معکوس",5-E44,E44))</x:f>
      </x:c>
      <x:c r="G44" s="26" t="str">
        <x:v>1) خیلی زیاد | 2) نسبتاً زیاد | 3) گاهی | 4) خیلی کم</x:v>
      </x:c>
    </x:row>
    <x:row r="45">
      <x:c r="A45" s="26" t="n">
        <x:v>44</x:v>
      </x:c>
      <x:c r="B45" s="26" t="str">
        <x:v>بیان و ارتباط</x:v>
      </x:c>
      <x:c r="C45" s="26" t="str">
        <x:v>گلو</x:v>
      </x:c>
      <x:c r="D45" s="26" t="str">
        <x:v>وقتی با یک نفر اختلاف دارید، سبک بیان شما معمولاً چیست؟</x:v>
      </x:c>
      <x:c r="E45" s="26" t="str"/>
      <x:c r="F45" s="26" t="str">
        <x:f>IF(E45="","",IF(Questions!I45="معکوس",5-E45,E45))</x:f>
      </x:c>
      <x:c r="G45" s="26" t="str">
        <x:v>1) سکوت یا انفجار | 2) کنایه و غیرمستقیم | 3) تلاش برای گفت‌وگو | 4) شفاف، محترمانه و مسئولانه</x:v>
      </x:c>
    </x:row>
    <x:row r="46">
      <x:c r="A46" s="26" t="n">
        <x:v>45</x:v>
      </x:c>
      <x:c r="B46" s="26" t="str">
        <x:v>بیان و ارتباط</x:v>
      </x:c>
      <x:c r="C46" s="26" t="str">
        <x:v>گلو</x:v>
      </x:c>
      <x:c r="D46" s="26" t="str">
        <x:v>وقتی قرار است درباره توانایی یا کار خودتان حرف بزنید، چه حسی دارید؟</x:v>
      </x:c>
      <x:c r="E46" s="26" t="str"/>
      <x:c r="F46" s="26" t="str">
        <x:f>IF(E46="","",IF(Questions!I46="معکوس",5-E46,E46))</x:f>
      </x:c>
      <x:c r="G46" s="26" t="str">
        <x:v>1) خیلی معذب | 2) کمی خجالت | 3) نسبتاً راحت | 4) واضح و با اعتماد</x:v>
      </x:c>
    </x:row>
    <x:row r="47">
      <x:c r="A47" s="26" t="n">
        <x:v>46</x:v>
      </x:c>
      <x:c r="B47" s="26" t="str">
        <x:v>بیان و ارتباط</x:v>
      </x:c>
      <x:c r="C47" s="26" t="str">
        <x:v>گلو</x:v>
      </x:c>
      <x:c r="D47" s="26" t="str">
        <x:v>چقدر به خودتان اجازه می‌دهید حقیقت احساستان را بیان کنید؟</x:v>
      </x:c>
      <x:c r="E47" s="26" t="str"/>
      <x:c r="F47" s="26" t="str">
        <x:f>IF(E47="","",IF(Questions!I47="معکوس",5-E47,E47))</x:f>
      </x:c>
      <x:c r="G47" s="26" t="str">
        <x:v>1) خیلی کم | 2) کم | 3) گاهی | 4) زیاد و سالم</x:v>
      </x:c>
    </x:row>
    <x:row r="48">
      <x:c r="A48" s="26" t="n">
        <x:v>47</x:v>
      </x:c>
      <x:c r="B48" s="26" t="str">
        <x:v>بیان و ارتباط</x:v>
      </x:c>
      <x:c r="C48" s="26" t="str">
        <x:v>گلو</x:v>
      </x:c>
      <x:c r="D48" s="26" t="str">
        <x:v>در جمع‌های خانوادگی یا دوستانه، وقتی نظری دارید چه می‌کنید؟</x:v>
      </x:c>
      <x:c r="E48" s="26" t="str"/>
      <x:c r="F48" s="26" t="str">
        <x:f>IF(E48="","",IF(Questions!I48="معکوس",5-E48,E48))</x:f>
      </x:c>
      <x:c r="G48" s="26" t="str">
        <x:v>1) معمولاً نمی‌گویم | 2) فقط اگر امن باشد می‌گویم | 3) گاهی بیان می‌کنم | 4) با احترام بیان می‌کنم</x:v>
      </x:c>
    </x:row>
    <x:row r="49">
      <x:c r="A49" s="26" t="n">
        <x:v>48</x:v>
      </x:c>
      <x:c r="B49" s="26" t="str">
        <x:v>بیان و ارتباط</x:v>
      </x:c>
      <x:c r="C49" s="26" t="str">
        <x:v>گلو</x:v>
      </x:c>
      <x:c r="D49" s="26" t="str">
        <x:v>وقتی چیزی ناراحتتان می‌کند، چقدر توضیح واضح می‌دهید؟</x:v>
      </x:c>
      <x:c r="E49" s="26" t="str"/>
      <x:c r="F49" s="26" t="str">
        <x:f>IF(E49="","",IF(Questions!I49="معکوس",5-E49,E49))</x:f>
      </x:c>
      <x:c r="G49" s="26" t="str">
        <x:v>1) تقریباً هیچ | 2) مبهم و دیر | 3) تا حدی واضح | 4) روشن و به موقع</x:v>
      </x:c>
    </x:row>
    <x:row r="50">
      <x:c r="A50" s="26" t="n">
        <x:v>49</x:v>
      </x:c>
      <x:c r="B50" s="26" t="str">
        <x:v>بیان و ارتباط</x:v>
      </x:c>
      <x:c r="C50" s="26" t="str">
        <x:v>گلو</x:v>
      </x:c>
      <x:c r="D50" s="26" t="str">
        <x:v>چقدر از قضاوت دیگران درباره حرف‌هایتان می‌ترسید؟</x:v>
      </x:c>
      <x:c r="E50" s="26" t="str"/>
      <x:c r="F50" s="26" t="str">
        <x:f>IF(E50="","",IF(Questions!I50="معکوس",5-E50,E50))</x:f>
      </x:c>
      <x:c r="G50" s="26" t="str">
        <x:v>1) خیلی زیاد | 2) نسبتاً زیاد | 3) گاهی | 4) خیلی کم</x:v>
      </x:c>
    </x:row>
    <x:row r="51">
      <x:c r="A51" s="26" t="n">
        <x:v>50</x:v>
      </x:c>
      <x:c r="B51" s="26" t="str">
        <x:v>بیان و ارتباط</x:v>
      </x:c>
      <x:c r="C51" s="26" t="str">
        <x:v>گلو</x:v>
      </x:c>
      <x:c r="D51" s="26" t="str">
        <x:v>وقتی باید درخواست کمک یا همکاری کنید، چه می‌کنید؟</x:v>
      </x:c>
      <x:c r="E51" s="26" t="str"/>
      <x:c r="F51" s="26" t="str">
        <x:f>IF(E51="","",IF(Questions!I51="معکوس",5-E51,E51))</x:f>
      </x:c>
      <x:c r="G51" s="26" t="str">
        <x:v>1) درخواست نمی‌کنم | 2) خیلی دیر می‌گویم | 3) اگر لازم باشد می‌گویم | 4) راحت و محترمانه درخواست می‌کنم</x:v>
      </x:c>
    </x:row>
    <x:row r="52">
      <x:c r="A52" s="26" t="n">
        <x:v>51</x:v>
      </x:c>
      <x:c r="B52" s="26" t="str">
        <x:v>بینش و شهود</x:v>
      </x:c>
      <x:c r="C52" s="26" t="str">
        <x:v>چشم سوم</x:v>
      </x:c>
      <x:c r="D52" s="26" t="str">
        <x:v>در تصمیم‌های مهم، چقدر به حس درونی خود توجه می‌کنید؟</x:v>
      </x:c>
      <x:c r="E52" s="26" t="str"/>
      <x:c r="F52" s="26" t="str">
        <x:f>IF(E52="","",IF(Questions!I52="معکوس",5-E52,E52))</x:f>
      </x:c>
      <x:c r="G52" s="26" t="str">
        <x:v>1) تقریباً هیچ | 2) کم | 3) در کنار منطق | 4) به شکل متعادل و آگاهانه</x:v>
      </x:c>
    </x:row>
    <x:row r="53">
      <x:c r="A53" s="26" t="n">
        <x:v>52</x:v>
      </x:c>
      <x:c r="B53" s="26" t="str">
        <x:v>بینش و شهود</x:v>
      </x:c>
      <x:c r="C53" s="26" t="str">
        <x:v>چشم سوم</x:v>
      </x:c>
      <x:c r="D53" s="26" t="str">
        <x:v>وقتی ذهن‌تان شلوغ است، چه می‌کنید؟</x:v>
      </x:c>
      <x:c r="E53" s="26" t="str"/>
      <x:c r="F53" s="26" t="str">
        <x:f>IF(E53="","",IF(Questions!I53="معکوس",5-E53,E53))</x:f>
      </x:c>
      <x:c r="G53" s="26" t="str">
        <x:v>1) در شلوغی می‌مانم | 2) حواسم را پرت می‌کنم | 3) گاهی خلوت می‌کنم | 4) آگاهانه سکوت و نظم ذهنی می‌سازم</x:v>
      </x:c>
    </x:row>
    <x:row r="54">
      <x:c r="A54" s="26" t="n">
        <x:v>53</x:v>
      </x:c>
      <x:c r="B54" s="26" t="str">
        <x:v>بینش و شهود</x:v>
      </x:c>
      <x:c r="C54" s="26" t="str">
        <x:v>چشم سوم</x:v>
      </x:c>
      <x:c r="D54" s="26" t="str">
        <x:v>چقدر بعد از اتفاقات می‌گویید «از اول حس کرده بودم»؟</x:v>
      </x:c>
      <x:c r="E54" s="26" t="str"/>
      <x:c r="F54" s="26" t="str">
        <x:f>IF(E54="","",IF(Questions!I54="معکوس",5-E54,E54))</x:f>
      </x:c>
      <x:c r="G54" s="26" t="str">
        <x:v>1) خیلی زیاد | 2) نسبتاً زیاد | 3) گاهی | 4) خیلی کم چون به حس و نشانه‌ها توجه می‌کنم</x:v>
      </x:c>
    </x:row>
    <x:row r="55">
      <x:c r="A55" s="26" t="n">
        <x:v>54</x:v>
      </x:c>
      <x:c r="B55" s="26" t="str">
        <x:v>بینش و شهود</x:v>
      </x:c>
      <x:c r="C55" s="26" t="str">
        <x:v>چشم سوم</x:v>
      </x:c>
      <x:c r="D55" s="26" t="str">
        <x:v>وقتی اطلاعات زیادی دریافت می‌کنید، معمولاً چه می‌شود؟</x:v>
      </x:c>
      <x:c r="E55" s="26" t="str"/>
      <x:c r="F55" s="26" t="str">
        <x:f>IF(E55="","",IF(Questions!I55="معکوس",5-E55,E55))</x:f>
      </x:c>
      <x:c r="G55" s="26" t="str">
        <x:v>1) گیج و پراکنده می‌شوم | 2) زیاد درگیر می‌شوم | 3) سعی می‌کنم مرتب کنم | 4) به اصل موضوع می‌رسم</x:v>
      </x:c>
    </x:row>
    <x:row r="56">
      <x:c r="A56" s="26" t="n">
        <x:v>55</x:v>
      </x:c>
      <x:c r="B56" s="26" t="str">
        <x:v>بینش و شهود</x:v>
      </x:c>
      <x:c r="C56" s="26" t="str">
        <x:v>چشم سوم</x:v>
      </x:c>
      <x:c r="D56" s="26" t="str">
        <x:v>در تشخیص الگوهای تکراری زندگی‌تان چقدر توانمندید؟</x:v>
      </x:c>
      <x:c r="E56" s="26" t="str"/>
      <x:c r="F56" s="26" t="str">
        <x:f>IF(E56="","",IF(Questions!I56="معکوس",5-E56,E56))</x:f>
      </x:c>
      <x:c r="G56" s="26" t="str">
        <x:v>1) کم | 2) گاهی بعد از دیر شدن می‌فهمم | 3) نسبتاً خوب | 4) زود متوجه الگو می‌شوم</x:v>
      </x:c>
    </x:row>
    <x:row r="57">
      <x:c r="A57" s="26" t="n">
        <x:v>56</x:v>
      </x:c>
      <x:c r="B57" s="26" t="str">
        <x:v>بینش و شهود</x:v>
      </x:c>
      <x:c r="C57" s="26" t="str">
        <x:v>چشم سوم</x:v>
      </x:c>
      <x:c r="D57" s="26" t="str">
        <x:v>چقدر قبل از تصمیم، هم منطق و هم احساس خود را می‌سنجید؟</x:v>
      </x:c>
      <x:c r="E57" s="26" t="str"/>
      <x:c r="F57" s="26" t="str">
        <x:f>IF(E57="","",IF(Questions!I57="معکوس",5-E57,E57))</x:f>
      </x:c>
      <x:c r="G57" s="26" t="str">
        <x:v>1) تقریباً نه | 2) بیشتر یک‌طرفه تصمیم می‌گیرم | 3) گاهی هر دو را می‌سنجم | 4) اغلب متعادل می‌سنجم</x:v>
      </x:c>
    </x:row>
    <x:row r="58">
      <x:c r="A58" s="26" t="n">
        <x:v>57</x:v>
      </x:c>
      <x:c r="B58" s="26" t="str">
        <x:v>بینش و شهود</x:v>
      </x:c>
      <x:c r="C58" s="26" t="str">
        <x:v>چشم سوم</x:v>
      </x:c>
      <x:c r="D58" s="26" t="str">
        <x:v>چقدر به نشانه‌های ظریف بدن و ذهن خود توجه دارید؟</x:v>
      </x:c>
      <x:c r="E58" s="26" t="str"/>
      <x:c r="F58" s="26" t="str">
        <x:f>IF(E58="","",IF(Questions!I58="معکوس",5-E58,E58))</x:f>
      </x:c>
      <x:c r="G58" s="26" t="str">
        <x:v>1) خیلی کم | 2) کم | 3) نسبتاً | 4) زیاد و آگاهانه</x:v>
      </x:c>
    </x:row>
    <x:row r="59">
      <x:c r="A59" s="26" t="n">
        <x:v>58</x:v>
      </x:c>
      <x:c r="B59" s="26" t="str">
        <x:v>بینش و شهود</x:v>
      </x:c>
      <x:c r="C59" s="26" t="str">
        <x:v>چشم سوم</x:v>
      </x:c>
      <x:c r="D59" s="26" t="str">
        <x:v>وقتی احساس می‌کنید مسیر درست نیست، معمولاً چه می‌کنید؟</x:v>
      </x:c>
      <x:c r="E59" s="26" t="str"/>
      <x:c r="F59" s="26" t="str">
        <x:f>IF(E59="","",IF(Questions!I59="معکوس",5-E59,E59))</x:f>
      </x:c>
      <x:c r="G59" s="26" t="str">
        <x:v>1) نادیده می‌گیرم | 2) تا دیر شود صبر می‌کنم | 3) بررسی می‌کنم | 4) به موقع توقف و بازنگری می‌کنم</x:v>
      </x:c>
    </x:row>
    <x:row r="60">
      <x:c r="A60" s="26" t="n">
        <x:v>59</x:v>
      </x:c>
      <x:c r="B60" s="26" t="str">
        <x:v>بینش و شهود</x:v>
      </x:c>
      <x:c r="C60" s="26" t="str">
        <x:v>چشم سوم</x:v>
      </x:c>
      <x:c r="D60" s="26" t="str">
        <x:v>چقدر درگیر فکرهای تکراری و بی‌نتیجه می‌شوید؟</x:v>
      </x:c>
      <x:c r="E60" s="26" t="str"/>
      <x:c r="F60" s="26" t="str">
        <x:f>IF(E60="","",IF(Questions!I60="معکوس",5-E60,E60))</x:f>
      </x:c>
      <x:c r="G60" s="26" t="str">
        <x:v>1) خیلی زیاد | 2) نسبتاً زیاد | 3) گاهی | 4) خیلی کم</x:v>
      </x:c>
    </x:row>
    <x:row r="61">
      <x:c r="A61" s="26" t="n">
        <x:v>60</x:v>
      </x:c>
      <x:c r="B61" s="26" t="str">
        <x:v>بینش و شهود</x:v>
      </x:c>
      <x:c r="C61" s="26" t="str">
        <x:v>چشم سوم</x:v>
      </x:c>
      <x:c r="D61" s="26" t="str">
        <x:v>در برنامه‌ریزی آینده، معمولاً چه حالتی دارید؟</x:v>
      </x:c>
      <x:c r="E61" s="26" t="str"/>
      <x:c r="F61" s="26" t="str">
        <x:f>IF(E61="","",IF(Questions!I61="معکوس",5-E61,E61))</x:f>
      </x:c>
      <x:c r="G61" s="26" t="str">
        <x:v>1) سردرگم و نامشخص | 2) آرزو دارم اما برنامه کم است | 3) برنامه نسبی دارم | 4) چشم‌انداز و قدم‌های روشن دارم</x:v>
      </x:c>
    </x:row>
    <x:row r="62">
      <x:c r="A62" s="26" t="n">
        <x:v>61</x:v>
      </x:c>
      <x:c r="B62" s="26" t="str">
        <x:v>معنا و رشد</x:v>
      </x:c>
      <x:c r="C62" s="26" t="str">
        <x:v>تاج</x:v>
      </x:c>
      <x:c r="D62" s="26" t="str">
        <x:v>وقتی به زندگی خود نگاه می‌کنید، چقدر حس معنا دارید؟</x:v>
      </x:c>
      <x:c r="E62" s="26" t="str"/>
      <x:c r="F62" s="26" t="str">
        <x:f>IF(E62="","",IF(Questions!I62="معکوس",5-E62,E62))</x:f>
      </x:c>
      <x:c r="G62" s="26" t="str">
        <x:v>1) خیلی کم | 2) گاهی کم‌رنگ | 3) نسبتاً | 4) عمیق و روشن</x:v>
      </x:c>
    </x:row>
    <x:row r="63">
      <x:c r="A63" s="26" t="n">
        <x:v>62</x:v>
      </x:c>
      <x:c r="B63" s="26" t="str">
        <x:v>معنا و رشد</x:v>
      </x:c>
      <x:c r="C63" s="26" t="str">
        <x:v>تاج</x:v>
      </x:c>
      <x:c r="D63" s="26" t="str">
        <x:v>چقدر انتخاب‌های روزمره‌تان با ارزش‌های واقعی شما هماهنگ است؟</x:v>
      </x:c>
      <x:c r="E63" s="26" t="str"/>
      <x:c r="F63" s="26" t="str">
        <x:f>IF(E63="","",IF(Questions!I63="معکوس",5-E63,E63))</x:f>
      </x:c>
      <x:c r="G63" s="26" t="str">
        <x:v>1) خیلی کم | 2) کم | 3) تا حدی | 4) زیاد</x:v>
      </x:c>
    </x:row>
    <x:row r="64">
      <x:c r="A64" s="26" t="n">
        <x:v>63</x:v>
      </x:c>
      <x:c r="B64" s="26" t="str">
        <x:v>معنا و رشد</x:v>
      </x:c>
      <x:c r="C64" s="26" t="str">
        <x:v>تاج</x:v>
      </x:c>
      <x:c r="D64" s="26" t="str">
        <x:v>وقتی موفقیتی به دست می‌آورید، معمولاً چه احساسی دارید؟</x:v>
      </x:c>
      <x:c r="E64" s="26" t="str"/>
      <x:c r="F64" s="26" t="str">
        <x:f>IF(E64="","",IF(Questions!I64="معکوس",5-E64,E64))</x:f>
      </x:c>
      <x:c r="G64" s="26" t="str">
        <x:v>1) زود خالی و بی‌معنا می‌شود | 2) مدتی خوب است اما پایدار نیست | 3) تا حدی رضایت می‌دهد | 4) آن را بخشی از مسیر رشد می‌بینم</x:v>
      </x:c>
    </x:row>
    <x:row r="65">
      <x:c r="A65" s="26" t="n">
        <x:v>64</x:v>
      </x:c>
      <x:c r="B65" s="26" t="str">
        <x:v>معنا و رشد</x:v>
      </x:c>
      <x:c r="C65" s="26" t="str">
        <x:v>تاج</x:v>
      </x:c>
      <x:c r="D65" s="26" t="str">
        <x:v>چقدر برای خلوت، دعا، مراقبه، طبیعت یا سکوت وقت دارید؟</x:v>
      </x:c>
      <x:c r="E65" s="26" t="str"/>
      <x:c r="F65" s="26" t="str">
        <x:f>IF(E65="","",IF(Questions!I65="معکوس",5-E65,E65))</x:f>
      </x:c>
      <x:c r="G65" s="26" t="str">
        <x:v>1) تقریباً هیچ | 2) خیلی کم | 3) گاهی | 4) به‌طور منظم</x:v>
      </x:c>
    </x:row>
    <x:row r="66">
      <x:c r="A66" s="26" t="n">
        <x:v>65</x:v>
      </x:c>
      <x:c r="B66" s="26" t="str">
        <x:v>معنا و رشد</x:v>
      </x:c>
      <x:c r="C66" s="26" t="str">
        <x:v>تاج</x:v>
      </x:c>
      <x:c r="D66" s="26" t="str">
        <x:v>اگر همه چیز بیرونی خوب باشد اما درونتان خالی باشد، چه می‌کنید؟</x:v>
      </x:c>
      <x:c r="E66" s="26" t="str"/>
      <x:c r="F66" s="26" t="str">
        <x:f>IF(E66="","",IF(Questions!I66="معکوس",5-E66,E66))</x:f>
      </x:c>
      <x:c r="G66" s="26" t="str">
        <x:v>1) نادیده می‌گیرم | 2) با سرگرمی پر می‌کنم | 3) گاهی به ریشه‌اش فکر می‌کنم | 4) با خودم صادقانه روبه‌رو می‌شوم</x:v>
      </x:c>
    </x:row>
    <x:row r="67">
      <x:c r="A67" s="26" t="n">
        <x:v>66</x:v>
      </x:c>
      <x:c r="B67" s="26" t="str">
        <x:v>معنا و رشد</x:v>
      </x:c>
      <x:c r="C67" s="26" t="str">
        <x:v>تاج</x:v>
      </x:c>
      <x:c r="D67" s="26" t="str">
        <x:v>چقدر احساس می‌کنید مسیر زندگی‌تان فقط برای تأیید دیگران ساخته شده؟</x:v>
      </x:c>
      <x:c r="E67" s="26" t="str"/>
      <x:c r="F67" s="26" t="str">
        <x:f>IF(E67="","",IF(Questions!I67="معکوس",5-E67,E67))</x:f>
      </x:c>
      <x:c r="G67" s="26" t="str">
        <x:v>1) خیلی زیاد | 2) نسبتاً زیاد | 3) گاهی | 4) خیلی کم</x:v>
      </x:c>
    </x:row>
    <x:row r="68">
      <x:c r="A68" s="26" t="n">
        <x:v>67</x:v>
      </x:c>
      <x:c r="B68" s="26" t="str">
        <x:v>معنا و رشد</x:v>
      </x:c>
      <x:c r="C68" s="26" t="str">
        <x:v>تاج</x:v>
      </x:c>
      <x:c r="D68" s="26" t="str">
        <x:v>وقتی با مسئله‌ای بزرگ روبه‌رو می‌شوید، چقدر می‌توانید نگاه وسیع‌تری داشته باشید؟</x:v>
      </x:c>
      <x:c r="E68" s="26" t="str"/>
      <x:c r="F68" s="26" t="str">
        <x:f>IF(E68="","",IF(Questions!I68="معکوس",5-E68,E68))</x:f>
      </x:c>
      <x:c r="G68" s="26" t="str">
        <x:v>1) خیلی کم | 2) کم | 3) گاهی | 4) زیاد</x:v>
      </x:c>
    </x:row>
    <x:row r="69">
      <x:c r="A69" s="26" t="n">
        <x:v>68</x:v>
      </x:c>
      <x:c r="B69" s="26" t="str">
        <x:v>معنا و رشد</x:v>
      </x:c>
      <x:c r="C69" s="26" t="str">
        <x:v>تاج</x:v>
      </x:c>
      <x:c r="D69" s="26" t="str">
        <x:v>چقدر احساس می‌کنید دریافت‌های خوب زندگی را باید با سختی زیاد به دست آورید؟</x:v>
      </x:c>
      <x:c r="E69" s="26" t="str"/>
      <x:c r="F69" s="26" t="str">
        <x:f>IF(E69="","",IF(Questions!I69="معکوس",5-E69,E69))</x:f>
      </x:c>
      <x:c r="G69" s="26" t="str">
        <x:v>1) خیلی زیاد | 2) نسبتاً زیاد | 3) گاهی | 4) خیلی کم</x:v>
      </x:c>
    </x:row>
    <x:row r="70">
      <x:c r="A70" s="26" t="n">
        <x:v>69</x:v>
      </x:c>
      <x:c r="B70" s="26" t="str">
        <x:v>معنا و رشد</x:v>
      </x:c>
      <x:c r="C70" s="26" t="str">
        <x:v>تاج</x:v>
      </x:c>
      <x:c r="D70" s="26" t="str">
        <x:v>در پایان یک روز معمولی، چقدر حس می‌کنید با خود واقعی‌تان در تماس بوده‌اید؟</x:v>
      </x:c>
      <x:c r="E70" s="26" t="str"/>
      <x:c r="F70" s="26" t="str">
        <x:f>IF(E70="","",IF(Questions!I70="معکوس",5-E70,E70))</x:f>
      </x:c>
      <x:c r="G70" s="26" t="str">
        <x:v>1) خیلی کم | 2) کم | 3) تا حدی | 4) زیاد</x:v>
      </x:c>
    </x:row>
    <x:row r="71">
      <x:c r="A71" s="26" t="n">
        <x:v>70</x:v>
      </x:c>
      <x:c r="B71" s="26" t="str">
        <x:v>معنا و رشد</x:v>
      </x:c>
      <x:c r="C71" s="26" t="str">
        <x:v>تاج</x:v>
      </x:c>
      <x:c r="D71" s="26" t="str">
        <x:v>چقدر به رشد درونی خود مثل رشد مالی یا کاری اهمیت می‌دهید؟</x:v>
      </x:c>
      <x:c r="E71" s="26" t="str"/>
      <x:c r="F71" s="26" t="str">
        <x:f>IF(E71="","",IF(Questions!I71="معکوس",5-E71,E71))</x:f>
      </x:c>
      <x:c r="G71" s="26" t="str">
        <x:v>1) خیلی کم | 2) کم | 3) نسبتاً | 4) زیاد و جدی</x:v>
      </x:c>
    </x:row>
  </x:sheetData>
  <x:dataValidations count="1">
    <x:dataValidation type="list" showInputMessage="1" sqref="E2:E71">
      <x:formula1>"1,2,3,4"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e2292b55e943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2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17" t="str">
        <x:v>شاخص</x:v>
      </x:c>
      <x:c r="B1" s="17" t="str">
        <x:v>فرمول/امتیاز</x:v>
      </x:c>
      <x:c r="C1" s="17" t="str">
        <x:v>وضعیت</x:v>
      </x:c>
      <x:c r="D1" s="17" t="str">
        <x:v>توضیح کوتاه</x:v>
      </x:c>
      <x:c r="E1" s="32"/>
      <x:c r="F1" s="9" t="str">
        <x:v>اولویت</x:v>
      </x:c>
      <x:c r="G1" s="9" t="str">
        <x:v>امتیاز</x:v>
      </x:c>
      <x:c r="H1" s="9" t="str">
        <x:v>توضیح</x:v>
      </x:c>
    </x:row>
    <x:row r="2">
      <x:c r="A2" s="32" t="str">
        <x:v>ریشه</x:v>
      </x:c>
      <x:c r="B2" s="33" t="n">
        <x:f>IFERROR(SUMPRODUCT(Responses!$F$2:$F$71,Questions!$J$2:$J$71)/(4*SUM(Questions!$J$2:$J$71))*100,0)</x:f>
        <x:v>0</x:v>
      </x:c>
      <x:c r="C2" s="32" t="str">
        <x:f>IF(B2&lt;40,"پرچالش",IF(B2&lt;60,"نیازمند توجه",IF(B2&lt;78,"متعادل نسبی","قوی")))</x:f>
        <x:v>پرچالش</x:v>
      </x:c>
      <x:c r="D2" s="32" t="str">
        <x:v>امنیت، ثبات، بدن، پشتوانه</x:v>
      </x:c>
      <x:c r="E2" s="32"/>
      <x:c r="F2" s="32" t="str">
        <x:f>INDEX($A$2:$A$8,MATCH(SMALL($B$2:$B$8,1),$B$2:$B$8,0))</x:f>
        <x:v>ریشه</x:v>
      </x:c>
      <x:c r="G2" s="33" t="n">
        <x:f>SMALL($B$2:$B$8,1)</x:f>
        <x:v>0</x:v>
      </x:c>
      <x:c r="H2" s="32" t="str">
        <x:f>IF(G2&lt;40,"اولویت فوری برای برنامه ماهانه",IF(G2&lt;60,"نیاز به تمرین هدفمند","قابل تثبیت"))</x:f>
        <x:v>اولویت فوری برای برنامه ماهانه</x:v>
      </x:c>
    </x:row>
    <x:row r="3">
      <x:c r="A3" s="32" t="str">
        <x:v>خاجی</x:v>
      </x:c>
      <x:c r="B3" s="33" t="n">
        <x:f>IFERROR(SUMPRODUCT(Responses!$F$2:$F$71,Questions!$K$2:$K$71)/(4*SUM(Questions!$K$2:$K$71))*100,0)</x:f>
        <x:v>0</x:v>
      </x:c>
      <x:c r="C3" s="32" t="str">
        <x:f>IF(B3&lt;40,"پرچالش",IF(B3&lt;60,"نیازمند توجه",IF(B3&lt;78,"متعادل نسبی","قوی")))</x:f>
        <x:v>پرچالش</x:v>
      </x:c>
      <x:c r="D3" s="32" t="str">
        <x:v>احساسات، لذت، خلاقیت</x:v>
      </x:c>
      <x:c r="E3" s="32"/>
      <x:c r="F3" s="32" t="str">
        <x:f>INDEX($A$2:$A$8,MATCH(SMALL($B$2:$B$8,2),$B$2:$B$8,0))</x:f>
        <x:v>ریشه</x:v>
      </x:c>
      <x:c r="G3" s="33" t="n">
        <x:f>SMALL($B$2:$B$8,2)</x:f>
        <x:v>0</x:v>
      </x:c>
      <x:c r="H3" s="32" t="str">
        <x:f>IF(G3&lt;40,"اولویت فوری برای برنامه ماهانه",IF(G3&lt;60,"نیاز به تمرین هدفمند","قابل تثبیت"))</x:f>
        <x:v>اولویت فوری برای برنامه ماهانه</x:v>
      </x:c>
    </x:row>
    <x:row r="4">
      <x:c r="A4" s="32" t="str">
        <x:v>خورشیدی</x:v>
      </x:c>
      <x:c r="B4" s="33" t="n">
        <x:f>IFERROR(SUMPRODUCT(Responses!$F$2:$F$71,Questions!$L$2:$L$71)/(4*SUM(Questions!$L$2:$L$71))*100,0)</x:f>
        <x:v>0</x:v>
      </x:c>
      <x:c r="C4" s="32" t="str">
        <x:f>IF(B4&lt;40,"پرچالش",IF(B4&lt;60,"نیازمند توجه",IF(B4&lt;78,"متعادل نسبی","قوی")))</x:f>
        <x:v>پرچالش</x:v>
      </x:c>
      <x:c r="D4" s="32" t="str">
        <x:v>اعتماد، اقدام، قدرت شخصی</x:v>
      </x:c>
      <x:c r="E4" s="32"/>
      <x:c r="F4" s="32" t="str">
        <x:f>INDEX($A$2:$A$8,MATCH(SMALL($B$2:$B$8,3),$B$2:$B$8,0))</x:f>
        <x:v>ریشه</x:v>
      </x:c>
      <x:c r="G4" s="33" t="n">
        <x:f>SMALL($B$2:$B$8,3)</x:f>
        <x:v>0</x:v>
      </x:c>
      <x:c r="H4" s="32" t="str">
        <x:f>IF(G4&lt;40,"اولویت فوری برای برنامه ماهانه",IF(G4&lt;60,"نیاز به تمرین هدفمند","قابل تثبیت"))</x:f>
        <x:v>اولویت فوری برای برنامه ماهانه</x:v>
      </x:c>
    </x:row>
    <x:row r="5">
      <x:c r="A5" s="32" t="str">
        <x:v>قلب</x:v>
      </x:c>
      <x:c r="B5" s="33" t="n">
        <x:f>IFERROR(SUMPRODUCT(Responses!$F$2:$F$71,Questions!$M$2:$M$71)/(4*SUM(Questions!$M$2:$M$71))*100,0)</x:f>
        <x:v>0</x:v>
      </x:c>
      <x:c r="C5" s="32" t="str">
        <x:f>IF(B5&lt;40,"پرچالش",IF(B5&lt;60,"نیازمند توجه",IF(B5&lt;78,"متعادل نسبی","قوی")))</x:f>
        <x:v>پرچالش</x:v>
      </x:c>
      <x:c r="D5" s="32" t="str">
        <x:v>عشق، دریافت عاطفی، رهاسازی</x:v>
      </x:c>
      <x:c r="E5" s="32"/>
      <x:c r="F5" s="32"/>
      <x:c r="G5" s="32"/>
      <x:c r="H5" s="32"/>
    </x:row>
    <x:row r="6">
      <x:c r="A6" s="32" t="str">
        <x:v>گلو</x:v>
      </x:c>
      <x:c r="B6" s="33" t="n">
        <x:f>IFERROR(SUMPRODUCT(Responses!$F$2:$F$71,Questions!$N$2:$N$71)/(4*SUM(Questions!$N$2:$N$71))*100,0)</x:f>
        <x:v>0</x:v>
      </x:c>
      <x:c r="C6" s="32" t="str">
        <x:f>IF(B6&lt;40,"پرچالش",IF(B6&lt;60,"نیازمند توجه",IF(B6&lt;78,"متعادل نسبی","قوی")))</x:f>
        <x:v>پرچالش</x:v>
      </x:c>
      <x:c r="D6" s="32" t="str">
        <x:v>بیان، مرز، درخواست</x:v>
      </x:c>
      <x:c r="E6" s="32"/>
      <x:c r="F6" s="32"/>
      <x:c r="G6" s="32"/>
      <x:c r="H6" s="32"/>
    </x:row>
    <x:row r="7">
      <x:c r="A7" s="32" t="str">
        <x:v>چشم سوم</x:v>
      </x:c>
      <x:c r="B7" s="33" t="n">
        <x:f>IFERROR(SUMPRODUCT(Responses!$F$2:$F$71,Questions!$O$2:$O$71)/(4*SUM(Questions!$O$2:$O$71))*100,0)</x:f>
        <x:v>0</x:v>
      </x:c>
      <x:c r="C7" s="32" t="str">
        <x:f>IF(B7&lt;40,"پرچالش",IF(B7&lt;60,"نیازمند توجه",IF(B7&lt;78,"متعادل نسبی","قوی")))</x:f>
        <x:v>پرچالش</x:v>
      </x:c>
      <x:c r="D7" s="32" t="str">
        <x:v>بینش، تمرکز، شهود</x:v>
      </x:c>
      <x:c r="E7" s="32"/>
      <x:c r="F7" s="32"/>
      <x:c r="G7" s="32"/>
      <x:c r="H7" s="32"/>
    </x:row>
    <x:row r="8">
      <x:c r="A8" s="32" t="str">
        <x:v>تاج</x:v>
      </x:c>
      <x:c r="B8" s="33" t="n">
        <x:f>IFERROR(SUMPRODUCT(Responses!$F$2:$F$71,Questions!$P$2:$P$71)/(4*SUM(Questions!$P$2:$P$71))*100,0)</x:f>
        <x:v>0</x:v>
      </x:c>
      <x:c r="C8" s="32" t="str">
        <x:f>IF(B8&lt;40,"پرچالش",IF(B8&lt;60,"نیازمند توجه",IF(B8&lt;78,"متعادل نسبی","قوی")))</x:f>
        <x:v>پرچالش</x:v>
      </x:c>
      <x:c r="D8" s="32" t="str">
        <x:v>معنا، رشد، اتصال درونی</x:v>
      </x:c>
      <x:c r="E8" s="32"/>
      <x:c r="F8" s="32"/>
      <x:c r="G8" s="32"/>
      <x:c r="H8" s="32"/>
    </x:row>
    <x:row r="9">
      <x:c r="A9" s="32" t="str">
        <x:v>ثروت</x:v>
      </x:c>
      <x:c r="B9" s="33" t="n">
        <x:f>IFERROR(SUMPRODUCT(Responses!$F$2:$F$71,Questions!$Q$2:$Q$71)/(4*SUM(Questions!$Q$2:$Q$71))*100,0)</x:f>
        <x:v>0</x:v>
      </x:c>
      <x:c r="C9" s="32" t="str">
        <x:f>IF(B9&lt;40,"پرچالش",IF(B9&lt;60,"نیازمند توجه",IF(B9&lt;78,"متعادل نسبی","قوی")))</x:f>
        <x:v>پرچالش</x:v>
      </x:c>
      <x:c r="D9" s="32" t="str">
        <x:v>رابطه با پول، ارزش، اقدام مالی</x:v>
      </x:c>
      <x:c r="E9" s="32"/>
      <x:c r="F9" s="32"/>
      <x:c r="G9" s="32"/>
      <x:c r="H9" s="32"/>
    </x:row>
    <x:row r="10">
      <x:c r="A10" s="32" t="str">
        <x:v>عاطفی</x:v>
      </x:c>
      <x:c r="B10" s="33" t="n">
        <x:f>IFERROR(SUMPRODUCT(Responses!$F$2:$F$71,Questions!$R$2:$R$71)/(4*SUM(Questions!$R$2:$R$71))*100,0)</x:f>
        <x:v>0</x:v>
      </x:c>
      <x:c r="C10" s="32" t="str">
        <x:f>IF(B10&lt;40,"پرچالش",IF(B10&lt;60,"نیازمند توجه",IF(B10&lt;78,"متعادل نسبی","قوی")))</x:f>
        <x:v>پرچالش</x:v>
      </x:c>
      <x:c r="D10" s="32" t="str">
        <x:v>روابط، احساس، همدلی و مرز</x:v>
      </x:c>
      <x:c r="E10" s="32"/>
      <x:c r="F10" s="32"/>
      <x:c r="G10" s="32"/>
      <x:c r="H10" s="32"/>
    </x:row>
    <x:row r="11">
      <x:c r="A11" s="32" t="str">
        <x:v>سلامتی/انرژی</x:v>
      </x:c>
      <x:c r="B11" s="33" t="n">
        <x:f>IFERROR(SUMPRODUCT(Responses!$F$2:$F$71,Questions!$S$2:$S$71)/(4*SUM(Questions!$S$2:$S$71))*100,0)</x:f>
        <x:v>0</x:v>
      </x:c>
      <x:c r="C11" s="32" t="str">
        <x:f>IF(B11&lt;40,"پرچالش",IF(B11&lt;60,"نیازمند توجه",IF(B11&lt;78,"متعادل نسبی","قوی")))</x:f>
        <x:v>پرچالش</x:v>
      </x:c>
      <x:c r="D11" s="32" t="str">
        <x:v>خواب، بدن، استرس، انرژی روزانه</x:v>
      </x:c>
      <x:c r="E11" s="32"/>
      <x:c r="F11" s="32"/>
      <x:c r="G11" s="32"/>
      <x:c r="H11" s="32"/>
    </x:row>
    <x:row r="12">
      <x:c r="A12" s="32" t="str">
        <x:v>دریافت</x:v>
      </x:c>
      <x:c r="B12" s="33" t="n">
        <x:f>IFERROR(SUMPRODUCT(Responses!$F$2:$F$71,Questions!$T$2:$T$71)/(4*SUM(Questions!$T$2:$T$71))*100,0)</x:f>
        <x:v>0</x:v>
      </x:c>
      <x:c r="C12" s="32" t="str">
        <x:f>IF(B12&lt;40,"پرچالش",IF(B12&lt;60,"نیازمند توجه",IF(B12&lt;78,"متعادل نسبی","قوی")))</x:f>
        <x:v>پرچالش</x:v>
      </x:c>
      <x:c r="D12" s="32" t="str">
        <x:v>پذیرش عشق، پول، فرصت و حمایت</x:v>
      </x:c>
      <x:c r="E12" s="32"/>
      <x:c r="F12" s="32"/>
      <x:c r="G12" s="32"/>
      <x:c r="H12" s="32"/>
    </x:row>
  </x:sheetData>
  <x:conditionalFormatting sqref="B2:B12">
    <x:cfRule type="colorScale" priority="1">
      <x:colorScale>
        <x:cfvo type="min"/>
        <x:cfvo type="percentile" val="50"/>
        <x:cfvo type="max"/>
        <x:color rgb="FFF87171"/>
        <x:color rgb="FFFBBF24"/>
        <x:color rgb="FF34D39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2c3e7f4a44e4e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0" hidden="0" customWidth="1"/>
    <x:col min="8" max="8" width="20" hidden="0" customWidth="1"/>
  </x:cols>
  <x:sheetData>
    <x:row r="1">
      <x:c r="A1" s="51" t="str">
        <x:v>داشبورد تحلیل چاکرا | سعید سالار</x:v>
      </x:c>
      <x:c r="B1" s="52" t="str"/>
      <x:c r="C1" s="52" t="str"/>
      <x:c r="D1" s="52" t="str"/>
      <x:c r="E1" s="52" t="str"/>
      <x:c r="F1" s="52" t="str"/>
      <x:c r="G1" s="52" t="str"/>
      <x:c r="H1" s="52" t="str"/>
    </x:row>
    <x:row r="2">
      <x:c r="A2" s="53" t="str">
        <x:v>نسخه ۲ | ۷۰ سؤال عمومی، سناریومحور و قابل پاسخ برای عموم جامعه</x:v>
      </x:c>
      <x:c r="B2" s="52" t="str"/>
      <x:c r="C2" s="52" t="str"/>
      <x:c r="D2" s="52" t="str"/>
      <x:c r="E2" s="52" t="str"/>
      <x:c r="F2" s="52" t="str"/>
      <x:c r="G2" s="52" t="str"/>
      <x:c r="H2" s="52" t="str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>
      <x:c r="A4" s="54" t="str">
        <x:v>چاکرا</x:v>
      </x:c>
      <x:c r="B4" s="54" t="str">
        <x:v>امتیاز</x:v>
      </x:c>
      <x:c r="C4" s="54" t="str">
        <x:v>وضعیت</x:v>
      </x:c>
      <x:c r="D4" s="52"/>
      <x:c r="E4" s="54" t="str">
        <x:v>محور اصلی</x:v>
      </x:c>
      <x:c r="F4" s="54" t="str">
        <x:v>امتیاز</x:v>
      </x:c>
      <x:c r="G4" s="54" t="str">
        <x:v>وضعیت</x:v>
      </x:c>
      <x:c r="H4" s="52"/>
    </x:row>
    <x:row r="5">
      <x:c r="A5" s="52" t="str">
        <x:f>Calculations!A2</x:f>
        <x:v>ریشه</x:v>
      </x:c>
      <x:c r="B5" s="55" t="n">
        <x:f>Calculations!B2</x:f>
        <x:v>0</x:v>
      </x:c>
      <x:c r="C5" s="52" t="str">
        <x:f>Calculations!C2</x:f>
        <x:v>پرچالش</x:v>
      </x:c>
      <x:c r="D5" s="52"/>
      <x:c r="E5" s="52" t="str">
        <x:f>Calculations!A9</x:f>
        <x:v>ثروت</x:v>
      </x:c>
      <x:c r="F5" s="55" t="n">
        <x:f>Calculations!B9</x:f>
        <x:v>0</x:v>
      </x:c>
      <x:c r="G5" s="52" t="str">
        <x:f>Calculations!C9</x:f>
        <x:v>پرچالش</x:v>
      </x:c>
      <x:c r="H5" s="52"/>
    </x:row>
    <x:row r="6">
      <x:c r="A6" s="52" t="str">
        <x:f>Calculations!A3</x:f>
        <x:v>خاجی</x:v>
      </x:c>
      <x:c r="B6" s="55" t="n">
        <x:f>Calculations!B3</x:f>
        <x:v>0</x:v>
      </x:c>
      <x:c r="C6" s="52" t="str">
        <x:f>Calculations!C3</x:f>
        <x:v>پرچالش</x:v>
      </x:c>
      <x:c r="D6" s="52"/>
      <x:c r="E6" s="52" t="str">
        <x:f>Calculations!A10</x:f>
        <x:v>عاطفی</x:v>
      </x:c>
      <x:c r="F6" s="55" t="n">
        <x:f>Calculations!B10</x:f>
        <x:v>0</x:v>
      </x:c>
      <x:c r="G6" s="52" t="str">
        <x:f>Calculations!C10</x:f>
        <x:v>پرچالش</x:v>
      </x:c>
      <x:c r="H6" s="52"/>
    </x:row>
    <x:row r="7">
      <x:c r="A7" s="52" t="str">
        <x:f>Calculations!A4</x:f>
        <x:v>خورشیدی</x:v>
      </x:c>
      <x:c r="B7" s="55" t="n">
        <x:f>Calculations!B4</x:f>
        <x:v>0</x:v>
      </x:c>
      <x:c r="C7" s="52" t="str">
        <x:f>Calculations!C4</x:f>
        <x:v>پرچالش</x:v>
      </x:c>
      <x:c r="D7" s="52"/>
      <x:c r="E7" s="52" t="str">
        <x:f>Calculations!A11</x:f>
        <x:v>سلامتی/انرژی</x:v>
      </x:c>
      <x:c r="F7" s="55" t="n">
        <x:f>Calculations!B11</x:f>
        <x:v>0</x:v>
      </x:c>
      <x:c r="G7" s="52" t="str">
        <x:f>Calculations!C11</x:f>
        <x:v>پرچالش</x:v>
      </x:c>
      <x:c r="H7" s="52"/>
    </x:row>
    <x:row r="8">
      <x:c r="A8" s="52" t="str">
        <x:f>Calculations!A5</x:f>
        <x:v>قلب</x:v>
      </x:c>
      <x:c r="B8" s="55" t="n">
        <x:f>Calculations!B5</x:f>
        <x:v>0</x:v>
      </x:c>
      <x:c r="C8" s="52" t="str">
        <x:f>Calculations!C5</x:f>
        <x:v>پرچالش</x:v>
      </x:c>
      <x:c r="D8" s="52"/>
      <x:c r="E8" s="52" t="str">
        <x:f>Calculations!A12</x:f>
        <x:v>دریافت</x:v>
      </x:c>
      <x:c r="F8" s="55" t="n">
        <x:f>Calculations!B12</x:f>
        <x:v>0</x:v>
      </x:c>
      <x:c r="G8" s="52" t="str">
        <x:f>Calculations!C12</x:f>
        <x:v>پرچالش</x:v>
      </x:c>
      <x:c r="H8" s="52"/>
    </x:row>
    <x:row r="9">
      <x:c r="A9" s="52" t="str">
        <x:f>Calculations!A6</x:f>
        <x:v>گلو</x:v>
      </x:c>
      <x:c r="B9" s="55" t="n">
        <x:f>Calculations!B6</x:f>
        <x:v>0</x:v>
      </x:c>
      <x:c r="C9" s="52" t="str">
        <x:f>Calculations!C6</x:f>
        <x:v>پرچالش</x:v>
      </x:c>
      <x:c r="D9" s="52"/>
      <x:c r="E9" s="52"/>
      <x:c r="F9" s="52"/>
      <x:c r="G9" s="52"/>
      <x:c r="H9" s="52"/>
    </x:row>
    <x:row r="10">
      <x:c r="A10" s="52" t="str">
        <x:f>Calculations!A7</x:f>
        <x:v>چشم سوم</x:v>
      </x:c>
      <x:c r="B10" s="55" t="n">
        <x:f>Calculations!B7</x:f>
        <x:v>0</x:v>
      </x:c>
      <x:c r="C10" s="52" t="str">
        <x:f>Calculations!C7</x:f>
        <x:v>پرچالش</x:v>
      </x:c>
      <x:c r="D10" s="52"/>
      <x:c r="E10" s="52"/>
      <x:c r="F10" s="52"/>
      <x:c r="G10" s="52"/>
      <x:c r="H10" s="52"/>
    </x:row>
    <x:row r="11">
      <x:c r="A11" s="52" t="str">
        <x:f>Calculations!A8</x:f>
        <x:v>تاج</x:v>
      </x:c>
      <x:c r="B11" s="55" t="n">
        <x:f>Calculations!B8</x:f>
        <x:v>0</x:v>
      </x:c>
      <x:c r="C11" s="52" t="str">
        <x:f>Calculations!C8</x:f>
        <x:v>پرچالش</x:v>
      </x:c>
      <x:c r="D11" s="52"/>
      <x:c r="E11" s="52"/>
      <x:c r="F11" s="52"/>
      <x:c r="G11" s="52"/>
      <x:c r="H11" s="52"/>
    </x:row>
    <x:row r="12">
      <x:c r="A12" s="52"/>
      <x:c r="B12" s="52"/>
      <x:c r="C12" s="52"/>
      <x:c r="D12" s="52"/>
      <x:c r="E12" s="52"/>
      <x:c r="F12" s="52"/>
      <x:c r="G12" s="52"/>
      <x:c r="H12" s="52"/>
    </x:row>
    <x:row r="13">
      <x:c r="A13" s="56" t="str">
        <x:v>۳ اولویت رشد ماهانه</x:v>
      </x:c>
      <x:c r="B13" s="56" t="str">
        <x:v>امتیاز</x:v>
      </x:c>
      <x:c r="C13" s="56" t="str">
        <x:v>راهنمای اقدام</x:v>
      </x:c>
      <x:c r="D13" s="52"/>
      <x:c r="E13" s="56" t="str">
        <x:v>سطح کلی</x:v>
      </x:c>
      <x:c r="F13" s="56" t="str">
        <x:v>میانگین</x:v>
      </x:c>
      <x:c r="G13" s="56" t="str">
        <x:v>پیام</x:v>
      </x:c>
      <x:c r="H13" s="52"/>
    </x:row>
    <x:row r="14">
      <x:c r="A14" s="52" t="str">
        <x:f>Calculations!F2</x:f>
        <x:v>ریشه</x:v>
      </x:c>
      <x:c r="B14" s="55" t="n">
        <x:f>Calculations!G2</x:f>
        <x:v>0</x:v>
      </x:c>
      <x:c r="C14" s="52" t="str">
        <x:f>Calculations!H2</x:f>
        <x:v>اولویت فوری برای برنامه ماهانه</x:v>
      </x:c>
      <x:c r="D14" s="52"/>
      <x:c r="E14" s="52" t="str">
        <x:v>تعادل کلی</x:v>
      </x:c>
      <x:c r="F14" s="55" t="n">
        <x:f>AVERAGE(Calculations!B2:B8)</x:f>
        <x:v>0</x:v>
      </x:c>
      <x:c r="G14" s="52" t="str">
        <x:f>IF(F14&lt;45,"شروع برنامه ۳۰ روزه از ریشه و بدن",IF(F14&lt;65,"تمرکز روی سه اولویت کم‌امتیاز",IF(F14&lt;80,"تثبیت و ارتقای آرام","حفظ تعادل و توسعه دریافت")))</x:f>
        <x:v>شروع برنامه ۳۰ روزه از ریشه و بدن</x:v>
      </x:c>
      <x:c r="H14" s="52"/>
    </x:row>
    <x:row r="15">
      <x:c r="A15" s="52" t="str">
        <x:f>Calculations!F3</x:f>
        <x:v>ریشه</x:v>
      </x:c>
      <x:c r="B15" s="55" t="n">
        <x:f>Calculations!G3</x:f>
        <x:v>0</x:v>
      </x:c>
      <x:c r="C15" s="52" t="str">
        <x:f>Calculations!H3</x:f>
        <x:v>اولویت فوری برای برنامه ماهانه</x:v>
      </x:c>
      <x:c r="D15" s="52"/>
      <x:c r="E15" s="52"/>
      <x:c r="F15" s="52"/>
      <x:c r="G15" s="52"/>
      <x:c r="H15" s="52"/>
    </x:row>
    <x:row r="16">
      <x:c r="A16" s="52" t="str">
        <x:f>Calculations!F4</x:f>
        <x:v>ریشه</x:v>
      </x:c>
      <x:c r="B16" s="55" t="n">
        <x:f>Calculations!G4</x:f>
        <x:v>0</x:v>
      </x:c>
      <x:c r="C16" s="52" t="str">
        <x:f>Calculations!H4</x:f>
        <x:v>اولویت فوری برای برنامه ماهانه</x:v>
      </x:c>
      <x:c r="D16" s="52"/>
      <x:c r="E16" s="52"/>
      <x:c r="F16" s="52"/>
      <x:c r="G16" s="52"/>
      <x:c r="H16" s="52"/>
    </x:row>
  </x:sheetData>
  <x:mergeCells>
    <x:mergeCell ref="A1:H1"/>
    <x:mergeCell ref="A2:H2"/>
  </x:mergeCells>
  <x:conditionalFormatting sqref="B5:B11">
    <x:cfRule type="dataBar" priority="1">
      <x:dataBar>
        <x:cfvo type="min"/>
        <x:cfvo type="max"/>
        <x:color rgb="FF8B5CF6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F5:F8">
    <x:cfRule type="dataBar" priority="2">
      <x:dataBar>
        <x:cfvo type="min"/>
        <x:cfvo type="max"/>
        <x:color rgb="FFF59E0B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conditionalFormatting sqref="B14:B16">
    <x:cfRule type="dataBar" priority="3">
      <x:dataBar>
        <x:cfvo type="min"/>
        <x:cfvo type="max"/>
        <x:color rgb="FFEF4444"/>
      </x:dataBar>
      <x:extLst>
        <x:ext xmlns:x14="http://schemas.microsoft.com/office/spreadsheetml/2009/9/main" uri="{B025F937-C7B1-47D3-B67F-A62EFF666E3E}">
          <x14:id>{C5593AA7-0028-5BEA-E3E0-8178783C1A47}</x14:id>
        </x:ext>
      </x:extLst>
    </x:cfRule>
  </x:conditionalFormatting>
  <x:conditionalFormatting sqref="F14:F14">
    <x:cfRule type="dataBar" priority="4">
      <x:dataBar>
        <x:cfvo type="min"/>
        <x:cfvo type="max"/>
        <x:color rgb="FF10B981"/>
      </x:dataBar>
      <x:extLst>
        <x:ext xmlns:x14="http://schemas.microsoft.com/office/spreadsheetml/2009/9/main" uri="{B025F937-C7B1-47D3-B67F-A62EFF666E3E}">
          <x14:id>{9FB71B9A-F398-1C5C-AB63-4C1EA09CC5DA}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8B5CF6"/>
            </x14:dataBar>
          </x14:cfRule>
          <xm:sqref>B5:B11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F59E0B"/>
            </x14:dataBar>
          </x14:cfRule>
          <xm:sqref>F5:F8</xm:sqref>
        </x14:conditionalFormatting>
        <x14:conditionalFormatting>
          <x14:cfRule type="dataBar" priority="3" id="{C5593AA7-0028-5BEA-E3E0-8178783C1A47}">
            <x14:dataBar gradient="1">
              <x14:cfvo type="min"/>
              <x14:cfvo type="max"/>
              <x14:fillColor rgb="FFEF4444"/>
            </x14:dataBar>
          </x14:cfRule>
          <xm:sqref>B14:B16</xm:sqref>
        </x14:conditionalFormatting>
        <x14:conditionalFormatting>
          <x14:cfRule type="dataBar" priority="4" id="{9FB71B9A-F398-1C5C-AB63-4C1EA09CC5DA}">
            <x14:dataBar gradient="1">
              <x14:cfvo type="min"/>
              <x14:cfvo type="max"/>
              <x14:fillColor rgb="FF10B981"/>
            </x14:dataBar>
          </x14:cfRule>
          <xm:sqref>F14:F14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5" hidden="0" customWidth="1"/>
    <x:col min="4" max="4" width="55" hidden="0" customWidth="1"/>
  </x:cols>
  <x:sheetData>
    <x:row r="1">
      <x:c r="A1" s="63" t="str">
        <x:v>بازه امتیاز</x:v>
      </x:c>
      <x:c r="B1" s="63" t="str">
        <x:v>وضعیت</x:v>
      </x:c>
      <x:c r="C1" s="63" t="str">
        <x:v>تفسیر پیشنهادی</x:v>
      </x:c>
      <x:c r="D1" s="63" t="str">
        <x:v>اقدام پیشنهادی</x:v>
      </x:c>
    </x:row>
    <x:row r="2">
      <x:c r="A2" s="52" t="str">
        <x:v>0 تا 39</x:v>
      </x:c>
      <x:c r="B2" s="52" t="str">
        <x:v>پرچالش</x:v>
      </x:c>
      <x:c r="C2" s="52" t="str">
        <x:v>این بخش احتمالاً بیشترین اثر را روی کیفیت زندگی و تصمیم‌های فرد دارد.</x:v>
      </x:c>
      <x:c r="D2" s="52" t="str">
        <x:v>در برنامه ۳۰ روزه، هفته اول با تمرین‌های پایه، بدن، خواب و تنفس شروع شود.</x:v>
      </x:c>
    </x:row>
    <x:row r="3">
      <x:c r="A3" s="52" t="str">
        <x:v>40 تا 59</x:v>
      </x:c>
      <x:c r="B3" s="52" t="str">
        <x:v>نیازمند توجه</x:v>
      </x:c>
      <x:c r="C3" s="52" t="str">
        <x:v>این بخش فعال است اما ثبات کافی ندارد و با فشارهای زندگی زود از تعادل خارج می‌شود.</x:v>
      </x:c>
      <x:c r="D3" s="52" t="str">
        <x:v>تمرین‌های کوتاه روزانه، journaling و یک عادت کوچک ثابت پیشنهاد می‌شود.</x:v>
      </x:c>
    </x:row>
    <x:row r="4">
      <x:c r="A4" s="52" t="str">
        <x:v>60 تا 77</x:v>
      </x:c>
      <x:c r="B4" s="52" t="str">
        <x:v>متعادل نسبی</x:v>
      </x:c>
      <x:c r="C4" s="52" t="str">
        <x:v>این بخش قابل اتکا است اما هنوز جای رشد و تثبیت دارد.</x:v>
      </x:c>
      <x:c r="D4" s="52" t="str">
        <x:v>حفظ ریتم، تمرین‌های ملایم و آگاهی هفتگی کافی است.</x:v>
      </x:c>
    </x:row>
    <x:row r="5">
      <x:c r="A5" s="52" t="str">
        <x:v>78 تا 100</x:v>
      </x:c>
      <x:c r="B5" s="52" t="str">
        <x:v>قوی</x:v>
      </x:c>
      <x:c r="C5" s="52" t="str">
        <x:v>این بخش یکی از منابع قدرت فرد است و می‌تواند به رشد بخش‌های ضعیف‌تر کمک کند.</x:v>
      </x:c>
      <x:c r="D5" s="52" t="str">
        <x:v>از این بخش به‌عنوان اهرم رشد استفاده شود؛ نه اینکه تمام تمرکز روی آن بماند.</x:v>
      </x:c>
    </x:row>
  </x:sheetData>
  <x:pageMargins left="0.7" right="0.7" top="0.75" bottom="0.75" header="0.3" footer="0.3"/>
  <x:tableParts count="1">
    <x:tablePart xmlns:r="http://schemas.openxmlformats.org/officeDocument/2006/relationships" r:id="R1d5e882fc8544788"/>
  </x:tableParts>
</x:worksheet>
</file>